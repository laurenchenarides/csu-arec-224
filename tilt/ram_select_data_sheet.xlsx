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lachenar_colostate_edu/Documents/Teaching/Courses/CSU/AREC224/csu-arec-224/tilt/"/>
    </mc:Choice>
  </mc:AlternateContent>
  <xr:revisionPtr revIDLastSave="67" documentId="8_{00B9E9A7-130B-491F-BEC7-1FC37ECD5942}" xr6:coauthVersionLast="47" xr6:coauthVersionMax="47" xr10:uidLastSave="{70EA5C32-D946-4465-9F42-C20893A87832}"/>
  <bookViews>
    <workbookView xWindow="4545" yWindow="2700" windowWidth="21600" windowHeight="12645" xr2:uid="{8D77234C-DDBB-404A-9D2A-574A5AD27804}"/>
  </bookViews>
  <sheets>
    <sheet name="data_sheet" sheetId="1" r:id="rId1"/>
    <sheet name="code_book" sheetId="2" r:id="rId2"/>
  </sheets>
  <externalReferences>
    <externalReference r:id="rId3"/>
  </externalReference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</calcChain>
</file>

<file path=xl/sharedStrings.xml><?xml version="1.0" encoding="utf-8"?>
<sst xmlns="http://schemas.openxmlformats.org/spreadsheetml/2006/main" count="101" uniqueCount="64">
  <si>
    <t>note</t>
  </si>
  <si>
    <t>Primary Major</t>
  </si>
  <si>
    <t xml:space="preserve">Student Class </t>
  </si>
  <si>
    <t>Undergrad Gpa</t>
  </si>
  <si>
    <t>Ethnicity - American Indian</t>
  </si>
  <si>
    <t>Ethnicity - Asian</t>
  </si>
  <si>
    <t>Ethnicity - Black</t>
  </si>
  <si>
    <t>Ethnicity - Hawaiian</t>
  </si>
  <si>
    <t>Ethnicity - Hispanic/Latino</t>
  </si>
  <si>
    <t>Ethnicity - White</t>
  </si>
  <si>
    <t>Ethnicity - Multiple</t>
  </si>
  <si>
    <t>Gender</t>
  </si>
  <si>
    <t>Age</t>
  </si>
  <si>
    <t>Residency</t>
  </si>
  <si>
    <t>Transfer to DARE FA_2025</t>
  </si>
  <si>
    <t>Prior field of study if new to DARE_FA 2025</t>
  </si>
  <si>
    <t>no GPA</t>
  </si>
  <si>
    <t xml:space="preserve">No GPA </t>
  </si>
  <si>
    <t xml:space="preserve">question &amp; answer Measurement type </t>
  </si>
  <si>
    <t xml:space="preserve">code </t>
  </si>
  <si>
    <t xml:space="preserve">primary major </t>
  </si>
  <si>
    <t>nominal categorical</t>
  </si>
  <si>
    <t>Agricultural Business</t>
  </si>
  <si>
    <t>Animal Science</t>
  </si>
  <si>
    <t>Livestock Business Management</t>
  </si>
  <si>
    <t>International Exchange</t>
  </si>
  <si>
    <t>Soil and Crop Sciences</t>
  </si>
  <si>
    <t>Equine Science</t>
  </si>
  <si>
    <t>Code</t>
  </si>
  <si>
    <t>Class Standing</t>
  </si>
  <si>
    <t>Freshman</t>
  </si>
  <si>
    <t>Sophomore</t>
  </si>
  <si>
    <t>Junior</t>
  </si>
  <si>
    <t>Senior</t>
  </si>
  <si>
    <t xml:space="preserve">race/ ethnicity </t>
  </si>
  <si>
    <t>dichotomous categorical</t>
  </si>
  <si>
    <t>no</t>
  </si>
  <si>
    <t xml:space="preserve">yes </t>
  </si>
  <si>
    <t xml:space="preserve">gender </t>
  </si>
  <si>
    <t xml:space="preserve">male </t>
  </si>
  <si>
    <t xml:space="preserve">female </t>
  </si>
  <si>
    <t>residency</t>
  </si>
  <si>
    <t xml:space="preserve">Non resident </t>
  </si>
  <si>
    <t xml:space="preserve">Colorado resident </t>
  </si>
  <si>
    <t>new to DARE_FA 2025</t>
  </si>
  <si>
    <t>Prior field of study if new to dare FA 2025</t>
  </si>
  <si>
    <t>N/A</t>
  </si>
  <si>
    <t>exp: business interest</t>
  </si>
  <si>
    <t>Exp studies</t>
  </si>
  <si>
    <t>business administration</t>
  </si>
  <si>
    <t>marked as 0.00</t>
  </si>
  <si>
    <t xml:space="preserve">Anonymous Code </t>
  </si>
  <si>
    <t>ID</t>
  </si>
  <si>
    <t>Final Grade</t>
  </si>
  <si>
    <t>F</t>
  </si>
  <si>
    <t>B</t>
  </si>
  <si>
    <t>A</t>
  </si>
  <si>
    <t>B+</t>
  </si>
  <si>
    <t>A+</t>
  </si>
  <si>
    <t>A-</t>
  </si>
  <si>
    <t>C+</t>
  </si>
  <si>
    <t>D</t>
  </si>
  <si>
    <t>B-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</si>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</sst>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0" xfId="0" applyFont="1"/>
    <xf numFmtId="0" fontId="3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4" xfId="0" applyFont="1" applyBorder="1" applyAlignment="1">
      <alignment wrapText="1"/>
    </xf>
    <xf numFmtId="0" fontId="6" fillId="0" borderId="0" xfId="0" applyFont="1" applyAlignment="1">
      <alignment wrapText="1"/>
    </xf>
    <xf numFmtId="2" fontId="2" fillId="0" borderId="1" xfId="0" applyNumberFormat="1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lostate-my.sharepoint.com/personal/lachenar_colostate_edu/Documents/Teaching/TILT/TILT_Research_Fellowship_25-26/Data/Ram%20select/final_grades.xlsx" TargetMode="External"/><Relationship Id="rId1" Type="http://schemas.openxmlformats.org/officeDocument/2006/relationships/externalLinkPath" Target="/personal/lachenar_colostate_edu/Documents/Teaching/TILT/TILT_Research_Fellowship_25-26/Data/Ram%20select/final_gra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_ID_Final grades "/>
    </sheetNames>
    <sheetDataSet>
      <sheetData sheetId="0">
        <row r="1">
          <cell r="A1" t="str">
            <v>Anonymous Code</v>
          </cell>
          <cell r="H1" t="str">
            <v>Current Grade</v>
          </cell>
        </row>
        <row r="2">
          <cell r="A2">
            <v>153</v>
          </cell>
          <cell r="H2" t="str">
            <v>F</v>
          </cell>
        </row>
        <row r="3">
          <cell r="A3">
            <v>177</v>
          </cell>
          <cell r="H3" t="str">
            <v>B</v>
          </cell>
        </row>
        <row r="4">
          <cell r="A4">
            <v>175</v>
          </cell>
          <cell r="H4" t="str">
            <v>A</v>
          </cell>
        </row>
        <row r="5">
          <cell r="A5">
            <v>192</v>
          </cell>
          <cell r="H5" t="str">
            <v>B+</v>
          </cell>
        </row>
        <row r="6">
          <cell r="A6">
            <v>166</v>
          </cell>
          <cell r="H6" t="str">
            <v>A+</v>
          </cell>
        </row>
        <row r="7">
          <cell r="A7">
            <v>173</v>
          </cell>
          <cell r="H7" t="str">
            <v>A</v>
          </cell>
        </row>
        <row r="8">
          <cell r="A8">
            <v>154</v>
          </cell>
          <cell r="H8" t="str">
            <v>A+</v>
          </cell>
        </row>
        <row r="9">
          <cell r="A9">
            <v>169</v>
          </cell>
          <cell r="H9" t="str">
            <v>B+</v>
          </cell>
        </row>
        <row r="10">
          <cell r="A10">
            <v>151</v>
          </cell>
          <cell r="H10" t="str">
            <v>A</v>
          </cell>
        </row>
        <row r="11">
          <cell r="A11">
            <v>172</v>
          </cell>
          <cell r="H11" t="str">
            <v>A-</v>
          </cell>
        </row>
        <row r="12">
          <cell r="A12">
            <v>158</v>
          </cell>
          <cell r="H12" t="str">
            <v>A</v>
          </cell>
        </row>
        <row r="13">
          <cell r="A13">
            <v>161</v>
          </cell>
          <cell r="H13" t="str">
            <v>A+</v>
          </cell>
        </row>
        <row r="14">
          <cell r="A14">
            <v>163</v>
          </cell>
          <cell r="H14" t="str">
            <v>A</v>
          </cell>
        </row>
        <row r="15">
          <cell r="A15">
            <v>152</v>
          </cell>
          <cell r="H15" t="str">
            <v>F</v>
          </cell>
        </row>
        <row r="16">
          <cell r="A16">
            <v>180</v>
          </cell>
          <cell r="H16" t="str">
            <v>A+</v>
          </cell>
        </row>
        <row r="17">
          <cell r="A17">
            <v>174</v>
          </cell>
          <cell r="H17" t="str">
            <v>B</v>
          </cell>
        </row>
        <row r="18">
          <cell r="A18">
            <v>189</v>
          </cell>
          <cell r="H18" t="str">
            <v>B</v>
          </cell>
        </row>
        <row r="19">
          <cell r="A19">
            <v>168</v>
          </cell>
          <cell r="H19" t="str">
            <v>A-</v>
          </cell>
        </row>
        <row r="20">
          <cell r="A20">
            <v>182</v>
          </cell>
          <cell r="H20" t="str">
            <v>A+</v>
          </cell>
        </row>
        <row r="21">
          <cell r="A21">
            <v>162</v>
          </cell>
          <cell r="H21" t="str">
            <v>A</v>
          </cell>
        </row>
        <row r="22">
          <cell r="A22">
            <v>184</v>
          </cell>
          <cell r="H22" t="str">
            <v>A+</v>
          </cell>
        </row>
        <row r="23">
          <cell r="A23">
            <v>165</v>
          </cell>
          <cell r="H23" t="str">
            <v>A</v>
          </cell>
        </row>
        <row r="24">
          <cell r="A24">
            <v>181</v>
          </cell>
          <cell r="H24" t="str">
            <v>B+</v>
          </cell>
        </row>
        <row r="25">
          <cell r="A25">
            <v>164</v>
          </cell>
          <cell r="H25" t="str">
            <v>A-</v>
          </cell>
        </row>
        <row r="26">
          <cell r="A26">
            <v>159</v>
          </cell>
          <cell r="H26" t="str">
            <v>A</v>
          </cell>
        </row>
        <row r="27">
          <cell r="A27">
            <v>150</v>
          </cell>
          <cell r="H27" t="str">
            <v>A</v>
          </cell>
        </row>
        <row r="28">
          <cell r="A28">
            <v>160</v>
          </cell>
          <cell r="H28" t="str">
            <v>C+</v>
          </cell>
        </row>
        <row r="29">
          <cell r="A29">
            <v>176</v>
          </cell>
          <cell r="H29" t="str">
            <v>D</v>
          </cell>
        </row>
        <row r="30">
          <cell r="A30">
            <v>171</v>
          </cell>
          <cell r="H30" t="str">
            <v>A</v>
          </cell>
        </row>
        <row r="31">
          <cell r="A31">
            <v>156</v>
          </cell>
          <cell r="H31" t="str">
            <v>B+</v>
          </cell>
        </row>
        <row r="32">
          <cell r="A32">
            <v>183</v>
          </cell>
          <cell r="H32" t="str">
            <v>B-</v>
          </cell>
        </row>
        <row r="33">
          <cell r="A33">
            <v>178</v>
          </cell>
          <cell r="H33" t="str">
            <v>A</v>
          </cell>
        </row>
        <row r="34">
          <cell r="A34">
            <v>190</v>
          </cell>
          <cell r="H34" t="str">
            <v>A-</v>
          </cell>
        </row>
        <row r="35">
          <cell r="A35">
            <v>196</v>
          </cell>
          <cell r="H35" t="str">
            <v>A-</v>
          </cell>
        </row>
        <row r="36">
          <cell r="A36">
            <v>197</v>
          </cell>
          <cell r="H36" t="str">
            <v>A</v>
          </cell>
        </row>
        <row r="37">
          <cell r="A37">
            <v>167</v>
          </cell>
          <cell r="H37" t="str">
            <v>A-</v>
          </cell>
        </row>
        <row r="38">
          <cell r="A38">
            <v>187</v>
          </cell>
          <cell r="H38" t="str">
            <v>A-</v>
          </cell>
        </row>
        <row r="39">
          <cell r="A39">
            <v>185</v>
          </cell>
          <cell r="H39" t="str">
            <v>A</v>
          </cell>
        </row>
        <row r="40">
          <cell r="A40">
            <v>193</v>
          </cell>
          <cell r="H40" t="str">
            <v>A</v>
          </cell>
        </row>
        <row r="41">
          <cell r="A41">
            <v>170</v>
          </cell>
          <cell r="H41" t="str">
            <v>A-</v>
          </cell>
        </row>
        <row r="42">
          <cell r="A42">
            <v>155</v>
          </cell>
          <cell r="H42" t="str">
            <v>A</v>
          </cell>
        </row>
        <row r="43">
          <cell r="A43">
            <v>186</v>
          </cell>
          <cell r="H43" t="str">
            <v>A-</v>
          </cell>
        </row>
        <row r="44">
          <cell r="A44">
            <v>194</v>
          </cell>
          <cell r="H44" t="str">
            <v>B-</v>
          </cell>
        </row>
        <row r="45">
          <cell r="A45">
            <v>179</v>
          </cell>
          <cell r="H45" t="str">
            <v>A-</v>
          </cell>
        </row>
        <row r="46">
          <cell r="A46">
            <v>188</v>
          </cell>
          <cell r="H46" t="str">
            <v>A-</v>
          </cell>
        </row>
        <row r="47">
          <cell r="A47">
            <v>191</v>
          </cell>
          <cell r="H47" t="str">
            <v>A-</v>
          </cell>
        </row>
        <row r="48">
          <cell r="A48">
            <v>157</v>
          </cell>
          <cell r="H48" t="str">
            <v>A-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308D-5DBE-43F6-8855-867842226295}">
  <dimension ref="A1:T49"/>
  <sheetViews>
    <sheetView tabSelected="1" workbookViewId="0">
      <selection activeCell="R1" sqref="R1:R49"/>
    </sheetView>
  </sheetViews>
  <sheetFormatPr defaultRowHeight="15" customHeight="1" x14ac:dyDescent="0.25"/>
  <cols>
    <col min="20" max="20" width="9.140625" style="15"/>
  </cols>
  <sheetData>
    <row r="1" spans="1:20" s="23" customFormat="1" ht="60" x14ac:dyDescent="0.2">
      <c r="A1" s="16" t="s">
        <v>52</v>
      </c>
      <c r="B1" s="1" t="s">
        <v>51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4" t="s">
        <v>12</v>
      </c>
      <c r="O1" s="2" t="s">
        <v>13</v>
      </c>
      <c r="P1" s="22" t="s">
        <v>14</v>
      </c>
      <c r="Q1" s="22" t="s">
        <v>15</v>
      </c>
      <c r="R1" s="22" t="s">
        <v>63</v>
      </c>
      <c r="S1" s="22" t="s">
        <v>53</v>
      </c>
      <c r="T1" s="21" t="s">
        <v>0</v>
      </c>
    </row>
    <row r="2" spans="1:20" x14ac:dyDescent="0.25">
      <c r="A2" s="11">
        <v>1</v>
      </c>
      <c r="B2" s="5">
        <v>153</v>
      </c>
      <c r="C2" s="6">
        <v>1</v>
      </c>
      <c r="D2" s="7">
        <v>1</v>
      </c>
      <c r="E2" s="18">
        <v>3.4</v>
      </c>
      <c r="F2" s="7">
        <v>0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9">
        <v>0</v>
      </c>
      <c r="M2" s="7">
        <v>0</v>
      </c>
      <c r="N2" s="10">
        <v>23</v>
      </c>
      <c r="O2" s="7">
        <v>0</v>
      </c>
      <c r="P2" s="24">
        <v>0</v>
      </c>
      <c r="Q2" s="24">
        <v>0</v>
      </c>
      <c r="R2" s="24">
        <v>21.83</v>
      </c>
      <c r="S2" s="24" t="s">
        <v>54</v>
      </c>
    </row>
    <row r="3" spans="1:20" x14ac:dyDescent="0.25">
      <c r="A3" s="11">
        <v>2</v>
      </c>
      <c r="B3" s="5">
        <v>177</v>
      </c>
      <c r="C3" s="6">
        <v>1</v>
      </c>
      <c r="D3" s="7">
        <v>2</v>
      </c>
      <c r="E3" s="18">
        <v>2.39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1</v>
      </c>
      <c r="L3" s="9">
        <v>0</v>
      </c>
      <c r="M3" s="7">
        <v>0</v>
      </c>
      <c r="N3" s="10">
        <v>20</v>
      </c>
      <c r="O3" s="7">
        <v>0</v>
      </c>
      <c r="P3" s="24">
        <v>0</v>
      </c>
      <c r="Q3" s="24">
        <v>0</v>
      </c>
      <c r="R3" s="24">
        <v>86.31</v>
      </c>
      <c r="S3" s="24" t="s">
        <v>55</v>
      </c>
    </row>
    <row r="4" spans="1:20" x14ac:dyDescent="0.25">
      <c r="A4" s="11">
        <v>3</v>
      </c>
      <c r="B4" s="5">
        <v>175</v>
      </c>
      <c r="C4" s="6">
        <v>1</v>
      </c>
      <c r="D4" s="7">
        <v>2</v>
      </c>
      <c r="E4" s="18">
        <v>2.21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9">
        <v>0</v>
      </c>
      <c r="M4" s="7">
        <v>1</v>
      </c>
      <c r="N4" s="10">
        <v>20</v>
      </c>
      <c r="O4" s="7">
        <v>1</v>
      </c>
      <c r="P4" s="24">
        <v>1</v>
      </c>
      <c r="Q4" s="24">
        <v>1</v>
      </c>
      <c r="R4" s="24">
        <v>94.42</v>
      </c>
      <c r="S4" s="24" t="s">
        <v>56</v>
      </c>
    </row>
    <row r="5" spans="1:20" x14ac:dyDescent="0.25">
      <c r="A5" s="11">
        <v>4</v>
      </c>
      <c r="B5" s="5">
        <v>192</v>
      </c>
      <c r="C5" s="6">
        <v>1</v>
      </c>
      <c r="D5" s="7">
        <v>2</v>
      </c>
      <c r="E5" s="18">
        <v>3.37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9">
        <v>0</v>
      </c>
      <c r="M5" s="7">
        <v>0</v>
      </c>
      <c r="N5" s="10">
        <v>20</v>
      </c>
      <c r="O5" s="7">
        <v>0</v>
      </c>
      <c r="P5" s="24">
        <v>0</v>
      </c>
      <c r="Q5" s="24">
        <v>0</v>
      </c>
      <c r="R5" s="24">
        <v>86.87</v>
      </c>
      <c r="S5" s="24" t="s">
        <v>57</v>
      </c>
    </row>
    <row r="6" spans="1:20" x14ac:dyDescent="0.25">
      <c r="A6" s="11">
        <v>5</v>
      </c>
      <c r="B6" s="5">
        <v>166</v>
      </c>
      <c r="C6" s="6">
        <v>2</v>
      </c>
      <c r="D6" s="7">
        <v>4</v>
      </c>
      <c r="E6" s="18">
        <v>3.95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1</v>
      </c>
      <c r="L6" s="9">
        <v>0</v>
      </c>
      <c r="M6" s="7">
        <v>1</v>
      </c>
      <c r="N6" s="10">
        <v>21</v>
      </c>
      <c r="O6" s="7">
        <v>1</v>
      </c>
      <c r="P6" s="24">
        <v>0</v>
      </c>
      <c r="Q6" s="24">
        <v>0</v>
      </c>
      <c r="R6" s="24">
        <v>97.06</v>
      </c>
      <c r="S6" s="24" t="s">
        <v>58</v>
      </c>
    </row>
    <row r="7" spans="1:20" x14ac:dyDescent="0.25">
      <c r="A7" s="11">
        <v>6</v>
      </c>
      <c r="B7" s="5">
        <v>173</v>
      </c>
      <c r="C7" s="6">
        <v>1</v>
      </c>
      <c r="D7" s="7">
        <v>2</v>
      </c>
      <c r="E7" s="18">
        <v>3.87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</v>
      </c>
      <c r="L7" s="9">
        <v>0</v>
      </c>
      <c r="M7" s="7">
        <v>1</v>
      </c>
      <c r="N7" s="10">
        <v>19</v>
      </c>
      <c r="O7" s="7">
        <v>0</v>
      </c>
      <c r="P7" s="24">
        <v>0</v>
      </c>
      <c r="Q7" s="24">
        <v>0</v>
      </c>
      <c r="R7" s="24">
        <v>95.42</v>
      </c>
      <c r="S7" s="24" t="s">
        <v>56</v>
      </c>
    </row>
    <row r="8" spans="1:20" x14ac:dyDescent="0.25">
      <c r="A8" s="11">
        <v>7</v>
      </c>
      <c r="B8" s="5">
        <v>154</v>
      </c>
      <c r="C8" s="6">
        <v>3</v>
      </c>
      <c r="D8" s="7">
        <v>2</v>
      </c>
      <c r="E8" s="18">
        <v>4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</v>
      </c>
      <c r="L8" s="9">
        <v>0</v>
      </c>
      <c r="M8" s="7">
        <v>1</v>
      </c>
      <c r="N8" s="10">
        <v>20</v>
      </c>
      <c r="O8" s="7">
        <v>0</v>
      </c>
      <c r="P8" s="24">
        <v>0</v>
      </c>
      <c r="Q8" s="24">
        <v>0</v>
      </c>
      <c r="R8" s="24">
        <v>96.7</v>
      </c>
      <c r="S8" s="24" t="s">
        <v>58</v>
      </c>
    </row>
    <row r="9" spans="1:20" x14ac:dyDescent="0.25">
      <c r="A9" s="11">
        <v>8</v>
      </c>
      <c r="B9" s="5">
        <v>169</v>
      </c>
      <c r="C9" s="6">
        <v>1</v>
      </c>
      <c r="D9" s="7">
        <v>3</v>
      </c>
      <c r="E9" s="18">
        <v>3.17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1</v>
      </c>
      <c r="L9" s="9">
        <v>0</v>
      </c>
      <c r="M9" s="7">
        <v>0</v>
      </c>
      <c r="N9" s="10">
        <v>20</v>
      </c>
      <c r="O9" s="7">
        <v>0</v>
      </c>
      <c r="P9" s="24">
        <v>0</v>
      </c>
      <c r="Q9" s="24">
        <v>0</v>
      </c>
      <c r="R9" s="24">
        <v>87.97</v>
      </c>
      <c r="S9" s="24" t="s">
        <v>57</v>
      </c>
    </row>
    <row r="10" spans="1:20" x14ac:dyDescent="0.25">
      <c r="A10" s="11">
        <v>9</v>
      </c>
      <c r="B10" s="5">
        <v>151</v>
      </c>
      <c r="C10" s="6">
        <v>1</v>
      </c>
      <c r="D10" s="7">
        <v>2</v>
      </c>
      <c r="E10" s="18">
        <v>2.63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</v>
      </c>
      <c r="L10" s="9">
        <v>0</v>
      </c>
      <c r="M10" s="7">
        <v>0</v>
      </c>
      <c r="N10" s="10">
        <v>21</v>
      </c>
      <c r="O10" s="7">
        <v>0</v>
      </c>
      <c r="P10" s="24">
        <v>0</v>
      </c>
      <c r="Q10" s="24">
        <v>0</v>
      </c>
      <c r="R10" s="24">
        <v>94.7</v>
      </c>
      <c r="S10" s="24" t="s">
        <v>56</v>
      </c>
    </row>
    <row r="11" spans="1:20" x14ac:dyDescent="0.25">
      <c r="A11" s="11">
        <v>10</v>
      </c>
      <c r="B11" s="5">
        <v>172</v>
      </c>
      <c r="C11" s="6">
        <v>1</v>
      </c>
      <c r="D11" s="7">
        <v>3</v>
      </c>
      <c r="E11" s="18">
        <v>3.06</v>
      </c>
      <c r="F11" s="7">
        <v>0</v>
      </c>
      <c r="G11" s="7">
        <v>0</v>
      </c>
      <c r="H11" s="7">
        <v>0</v>
      </c>
      <c r="I11" s="7">
        <v>0</v>
      </c>
      <c r="J11" s="7">
        <v>1</v>
      </c>
      <c r="K11" s="7">
        <v>1</v>
      </c>
      <c r="L11" s="9">
        <v>0</v>
      </c>
      <c r="M11" s="7">
        <v>0</v>
      </c>
      <c r="N11" s="10">
        <v>20</v>
      </c>
      <c r="O11" s="7">
        <v>0</v>
      </c>
      <c r="P11" s="24">
        <v>0</v>
      </c>
      <c r="Q11" s="24">
        <v>0</v>
      </c>
      <c r="R11" s="24">
        <v>92.16</v>
      </c>
      <c r="S11" s="24" t="s">
        <v>59</v>
      </c>
    </row>
    <row r="12" spans="1:20" x14ac:dyDescent="0.25">
      <c r="A12" s="11">
        <v>11</v>
      </c>
      <c r="B12" s="5">
        <v>158</v>
      </c>
      <c r="C12" s="6">
        <v>4</v>
      </c>
      <c r="D12" s="7">
        <v>3</v>
      </c>
      <c r="E12" s="18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9">
        <v>0</v>
      </c>
      <c r="M12" s="7">
        <v>1</v>
      </c>
      <c r="N12" s="10">
        <v>21</v>
      </c>
      <c r="O12" s="7">
        <v>1</v>
      </c>
      <c r="P12" s="24">
        <v>0</v>
      </c>
      <c r="Q12" s="24">
        <v>0</v>
      </c>
      <c r="R12" s="24">
        <v>95.77</v>
      </c>
      <c r="S12" s="24" t="s">
        <v>56</v>
      </c>
      <c r="T12" s="15" t="s">
        <v>16</v>
      </c>
    </row>
    <row r="13" spans="1:20" x14ac:dyDescent="0.25">
      <c r="A13" s="11">
        <v>12</v>
      </c>
      <c r="B13" s="5">
        <v>161</v>
      </c>
      <c r="C13" s="6">
        <v>5</v>
      </c>
      <c r="D13" s="7">
        <v>4</v>
      </c>
      <c r="E13" s="18">
        <v>3.33</v>
      </c>
      <c r="F13" s="7">
        <v>1</v>
      </c>
      <c r="G13" s="7">
        <v>0</v>
      </c>
      <c r="H13" s="7">
        <v>0</v>
      </c>
      <c r="I13" s="7">
        <v>0</v>
      </c>
      <c r="J13" s="7">
        <v>1</v>
      </c>
      <c r="K13" s="7">
        <v>1</v>
      </c>
      <c r="L13" s="9">
        <v>1</v>
      </c>
      <c r="M13" s="7">
        <v>0</v>
      </c>
      <c r="N13" s="10">
        <v>25</v>
      </c>
      <c r="O13" s="7">
        <v>1</v>
      </c>
      <c r="P13" s="24">
        <v>0</v>
      </c>
      <c r="Q13" s="24">
        <v>0</v>
      </c>
      <c r="R13" s="24">
        <v>96.8</v>
      </c>
      <c r="S13" s="24" t="s">
        <v>58</v>
      </c>
    </row>
    <row r="14" spans="1:20" x14ac:dyDescent="0.25">
      <c r="A14" s="11">
        <v>13</v>
      </c>
      <c r="B14" s="5">
        <v>163</v>
      </c>
      <c r="C14" s="6">
        <v>1</v>
      </c>
      <c r="D14" s="7">
        <v>3</v>
      </c>
      <c r="E14" s="18">
        <v>2.75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</v>
      </c>
      <c r="L14" s="9">
        <v>0</v>
      </c>
      <c r="M14" s="7">
        <v>1</v>
      </c>
      <c r="N14" s="10">
        <v>21</v>
      </c>
      <c r="O14" s="7">
        <v>1</v>
      </c>
      <c r="P14" s="24">
        <v>1</v>
      </c>
      <c r="Q14" s="24">
        <v>2</v>
      </c>
      <c r="R14" s="24">
        <v>95.48</v>
      </c>
      <c r="S14" s="24" t="s">
        <v>56</v>
      </c>
    </row>
    <row r="15" spans="1:20" x14ac:dyDescent="0.25">
      <c r="A15" s="11">
        <v>14</v>
      </c>
      <c r="B15" s="5">
        <v>152</v>
      </c>
      <c r="C15" s="6">
        <v>1</v>
      </c>
      <c r="D15" s="7">
        <v>3</v>
      </c>
      <c r="E15" s="18">
        <v>2.52</v>
      </c>
      <c r="F15" s="7">
        <v>0</v>
      </c>
      <c r="G15" s="7">
        <v>0</v>
      </c>
      <c r="H15" s="7">
        <v>0</v>
      </c>
      <c r="I15" s="7">
        <v>0</v>
      </c>
      <c r="J15" s="7">
        <v>1</v>
      </c>
      <c r="K15" s="7">
        <v>1</v>
      </c>
      <c r="L15" s="9">
        <v>0</v>
      </c>
      <c r="M15" s="7">
        <v>0</v>
      </c>
      <c r="N15" s="10">
        <v>19</v>
      </c>
      <c r="O15" s="7">
        <v>1</v>
      </c>
      <c r="P15" s="24">
        <v>0</v>
      </c>
      <c r="Q15" s="24">
        <v>0</v>
      </c>
      <c r="R15" s="24">
        <v>3.39</v>
      </c>
      <c r="S15" s="24" t="s">
        <v>54</v>
      </c>
    </row>
    <row r="16" spans="1:20" x14ac:dyDescent="0.25">
      <c r="A16" s="11">
        <v>15</v>
      </c>
      <c r="B16" s="5">
        <v>180</v>
      </c>
      <c r="C16" s="6">
        <v>6</v>
      </c>
      <c r="D16" s="7">
        <v>4</v>
      </c>
      <c r="E16" s="18">
        <v>3.23</v>
      </c>
      <c r="F16" s="7">
        <v>0</v>
      </c>
      <c r="G16" s="7">
        <v>0</v>
      </c>
      <c r="H16" s="7">
        <v>0</v>
      </c>
      <c r="I16" s="7">
        <v>0</v>
      </c>
      <c r="J16" s="7">
        <v>1</v>
      </c>
      <c r="K16" s="7">
        <v>1</v>
      </c>
      <c r="L16" s="9">
        <v>0</v>
      </c>
      <c r="M16" s="7">
        <v>1</v>
      </c>
      <c r="N16" s="10">
        <v>21</v>
      </c>
      <c r="O16" s="7">
        <v>1</v>
      </c>
      <c r="P16" s="24">
        <v>0</v>
      </c>
      <c r="Q16" s="24">
        <v>0</v>
      </c>
      <c r="R16" s="24">
        <v>97.83</v>
      </c>
      <c r="S16" s="24" t="s">
        <v>58</v>
      </c>
    </row>
    <row r="17" spans="1:19" x14ac:dyDescent="0.25">
      <c r="A17" s="11">
        <v>16</v>
      </c>
      <c r="B17" s="5">
        <v>174</v>
      </c>
      <c r="C17" s="6">
        <v>1</v>
      </c>
      <c r="D17" s="7">
        <v>2</v>
      </c>
      <c r="E17" s="18">
        <v>2.5</v>
      </c>
      <c r="F17" s="7">
        <v>0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9">
        <v>0</v>
      </c>
      <c r="M17" s="7">
        <v>0</v>
      </c>
      <c r="N17" s="10">
        <v>19</v>
      </c>
      <c r="O17" s="7">
        <v>0</v>
      </c>
      <c r="P17" s="24">
        <v>0</v>
      </c>
      <c r="Q17" s="24">
        <v>0</v>
      </c>
      <c r="R17" s="24">
        <v>84.85</v>
      </c>
      <c r="S17" s="24" t="s">
        <v>55</v>
      </c>
    </row>
    <row r="18" spans="1:19" x14ac:dyDescent="0.25">
      <c r="A18" s="11">
        <v>17</v>
      </c>
      <c r="B18" s="5">
        <v>189</v>
      </c>
      <c r="C18" s="6">
        <v>1</v>
      </c>
      <c r="D18" s="7">
        <v>3</v>
      </c>
      <c r="E18" s="18">
        <v>2.91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1</v>
      </c>
      <c r="L18" s="9">
        <v>0</v>
      </c>
      <c r="M18" s="7">
        <v>1</v>
      </c>
      <c r="N18" s="10">
        <v>20</v>
      </c>
      <c r="O18" s="7">
        <v>1</v>
      </c>
      <c r="P18" s="24">
        <v>0</v>
      </c>
      <c r="Q18" s="24">
        <v>0</v>
      </c>
      <c r="R18" s="24">
        <v>86.34</v>
      </c>
      <c r="S18" s="24" t="s">
        <v>55</v>
      </c>
    </row>
    <row r="19" spans="1:19" x14ac:dyDescent="0.25">
      <c r="A19" s="11">
        <v>18</v>
      </c>
      <c r="B19" s="5">
        <v>168</v>
      </c>
      <c r="C19" s="6">
        <v>5</v>
      </c>
      <c r="D19" s="7">
        <v>2</v>
      </c>
      <c r="E19" s="18">
        <v>3.38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</v>
      </c>
      <c r="L19" s="9">
        <v>0</v>
      </c>
      <c r="M19" s="7">
        <v>0</v>
      </c>
      <c r="N19" s="10">
        <v>19</v>
      </c>
      <c r="O19" s="7">
        <v>1</v>
      </c>
      <c r="P19" s="24">
        <v>0</v>
      </c>
      <c r="Q19" s="24">
        <v>0</v>
      </c>
      <c r="R19" s="24">
        <v>92.78</v>
      </c>
      <c r="S19" s="24" t="s">
        <v>59</v>
      </c>
    </row>
    <row r="20" spans="1:19" x14ac:dyDescent="0.25">
      <c r="A20" s="11">
        <v>19</v>
      </c>
      <c r="B20" s="5">
        <v>182</v>
      </c>
      <c r="C20" s="6">
        <v>2</v>
      </c>
      <c r="D20" s="7">
        <v>3</v>
      </c>
      <c r="E20" s="18">
        <v>3.7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</v>
      </c>
      <c r="L20" s="9">
        <v>0</v>
      </c>
      <c r="M20" s="7">
        <v>1</v>
      </c>
      <c r="N20" s="10">
        <v>20</v>
      </c>
      <c r="O20" s="7">
        <v>0</v>
      </c>
      <c r="P20" s="24">
        <v>0</v>
      </c>
      <c r="Q20" s="24">
        <v>0</v>
      </c>
      <c r="R20" s="24">
        <v>97.26</v>
      </c>
      <c r="S20" s="24" t="s">
        <v>58</v>
      </c>
    </row>
    <row r="21" spans="1:19" x14ac:dyDescent="0.25">
      <c r="A21" s="11">
        <v>20</v>
      </c>
      <c r="B21" s="5">
        <v>162</v>
      </c>
      <c r="C21" s="6">
        <v>1</v>
      </c>
      <c r="D21" s="7">
        <v>2</v>
      </c>
      <c r="E21" s="18">
        <v>3.67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  <c r="L21" s="9">
        <v>0</v>
      </c>
      <c r="M21" s="7">
        <v>1</v>
      </c>
      <c r="N21" s="10">
        <v>20</v>
      </c>
      <c r="O21" s="7">
        <v>1</v>
      </c>
      <c r="P21" s="24">
        <v>0</v>
      </c>
      <c r="Q21" s="24">
        <v>0</v>
      </c>
      <c r="R21" s="24">
        <v>95.66</v>
      </c>
      <c r="S21" s="24" t="s">
        <v>56</v>
      </c>
    </row>
    <row r="22" spans="1:19" x14ac:dyDescent="0.25">
      <c r="A22" s="11">
        <v>21</v>
      </c>
      <c r="B22" s="5">
        <v>184</v>
      </c>
      <c r="C22" s="6">
        <v>2</v>
      </c>
      <c r="D22" s="7">
        <v>4</v>
      </c>
      <c r="E22" s="18">
        <v>3.88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</v>
      </c>
      <c r="L22" s="9">
        <v>0</v>
      </c>
      <c r="M22" s="7">
        <v>1</v>
      </c>
      <c r="N22" s="10">
        <v>20</v>
      </c>
      <c r="O22" s="7">
        <v>1</v>
      </c>
      <c r="P22" s="24">
        <v>0</v>
      </c>
      <c r="Q22" s="24">
        <v>0</v>
      </c>
      <c r="R22" s="24">
        <v>97.06</v>
      </c>
      <c r="S22" s="24" t="s">
        <v>58</v>
      </c>
    </row>
    <row r="23" spans="1:19" x14ac:dyDescent="0.25">
      <c r="A23" s="11">
        <v>22</v>
      </c>
      <c r="B23" s="5">
        <v>165</v>
      </c>
      <c r="C23" s="6">
        <v>6</v>
      </c>
      <c r="D23" s="7">
        <v>4</v>
      </c>
      <c r="E23" s="18">
        <v>3.01</v>
      </c>
      <c r="F23" s="7">
        <v>0</v>
      </c>
      <c r="G23" s="7">
        <v>0</v>
      </c>
      <c r="H23" s="7">
        <v>0</v>
      </c>
      <c r="I23" s="7">
        <v>0</v>
      </c>
      <c r="J23" s="7">
        <v>1</v>
      </c>
      <c r="K23" s="7">
        <v>0</v>
      </c>
      <c r="L23" s="9">
        <v>0</v>
      </c>
      <c r="M23" s="7">
        <v>1</v>
      </c>
      <c r="N23" s="10">
        <v>22</v>
      </c>
      <c r="O23" s="7">
        <v>1</v>
      </c>
      <c r="P23" s="24">
        <v>0</v>
      </c>
      <c r="Q23" s="24">
        <v>0</v>
      </c>
      <c r="R23" s="24">
        <v>96.55</v>
      </c>
      <c r="S23" s="24" t="s">
        <v>56</v>
      </c>
    </row>
    <row r="24" spans="1:19" x14ac:dyDescent="0.25">
      <c r="A24" s="11">
        <v>23</v>
      </c>
      <c r="B24" s="5">
        <v>181</v>
      </c>
      <c r="C24" s="6">
        <v>1</v>
      </c>
      <c r="D24" s="7">
        <v>4</v>
      </c>
      <c r="E24" s="18">
        <v>2.37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1</v>
      </c>
      <c r="L24" s="9">
        <v>0</v>
      </c>
      <c r="M24" s="7">
        <v>1</v>
      </c>
      <c r="N24" s="10">
        <v>22</v>
      </c>
      <c r="O24" s="7">
        <v>1</v>
      </c>
      <c r="P24" s="24">
        <v>0</v>
      </c>
      <c r="Q24" s="24">
        <v>0</v>
      </c>
      <c r="R24" s="24">
        <v>89.04</v>
      </c>
      <c r="S24" s="24" t="s">
        <v>57</v>
      </c>
    </row>
    <row r="25" spans="1:19" x14ac:dyDescent="0.25">
      <c r="A25" s="11">
        <v>24</v>
      </c>
      <c r="B25" s="5">
        <v>164</v>
      </c>
      <c r="C25" s="6">
        <v>1</v>
      </c>
      <c r="D25" s="7">
        <v>1</v>
      </c>
      <c r="E25" s="18">
        <v>3.75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  <c r="L25" s="9">
        <v>0</v>
      </c>
      <c r="M25" s="7">
        <v>0</v>
      </c>
      <c r="N25" s="10">
        <v>19</v>
      </c>
      <c r="O25" s="7">
        <v>0</v>
      </c>
      <c r="P25" s="24">
        <v>0</v>
      </c>
      <c r="Q25" s="24">
        <v>0</v>
      </c>
      <c r="R25" s="24">
        <v>90.61</v>
      </c>
      <c r="S25" s="24" t="s">
        <v>59</v>
      </c>
    </row>
    <row r="26" spans="1:19" x14ac:dyDescent="0.25">
      <c r="A26" s="11">
        <v>25</v>
      </c>
      <c r="B26" s="5">
        <v>159</v>
      </c>
      <c r="C26" s="6">
        <v>1</v>
      </c>
      <c r="D26" s="7">
        <v>2</v>
      </c>
      <c r="E26" s="18">
        <v>3.83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9">
        <v>0</v>
      </c>
      <c r="M26" s="7">
        <v>1</v>
      </c>
      <c r="N26" s="10">
        <v>20</v>
      </c>
      <c r="O26" s="7">
        <v>0</v>
      </c>
      <c r="P26" s="24">
        <v>0</v>
      </c>
      <c r="Q26" s="24">
        <v>0</v>
      </c>
      <c r="R26" s="24">
        <v>94.77</v>
      </c>
      <c r="S26" s="24" t="s">
        <v>56</v>
      </c>
    </row>
    <row r="27" spans="1:19" x14ac:dyDescent="0.25">
      <c r="A27" s="11">
        <v>26</v>
      </c>
      <c r="B27" s="5">
        <v>150</v>
      </c>
      <c r="C27" s="6">
        <v>1</v>
      </c>
      <c r="D27" s="7">
        <v>3</v>
      </c>
      <c r="E27" s="18">
        <v>2.98</v>
      </c>
      <c r="F27" s="7">
        <v>1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9">
        <v>1</v>
      </c>
      <c r="M27" s="7">
        <v>0</v>
      </c>
      <c r="N27" s="10">
        <v>21</v>
      </c>
      <c r="O27" s="7">
        <v>0</v>
      </c>
      <c r="P27" s="24">
        <v>0</v>
      </c>
      <c r="Q27" s="24">
        <v>0</v>
      </c>
      <c r="R27" s="24">
        <v>96.08</v>
      </c>
      <c r="S27" s="24" t="s">
        <v>56</v>
      </c>
    </row>
    <row r="28" spans="1:19" x14ac:dyDescent="0.25">
      <c r="A28" s="11">
        <v>27</v>
      </c>
      <c r="B28" s="5">
        <v>160</v>
      </c>
      <c r="C28" s="6">
        <v>1</v>
      </c>
      <c r="D28" s="7">
        <v>2</v>
      </c>
      <c r="E28" s="18">
        <v>2.17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9">
        <v>0</v>
      </c>
      <c r="M28" s="7">
        <v>0</v>
      </c>
      <c r="N28" s="10">
        <v>22</v>
      </c>
      <c r="O28" s="7">
        <v>1</v>
      </c>
      <c r="P28" s="24">
        <v>0</v>
      </c>
      <c r="Q28" s="24">
        <v>0</v>
      </c>
      <c r="R28" s="24">
        <v>78.53</v>
      </c>
      <c r="S28" s="24" t="s">
        <v>60</v>
      </c>
    </row>
    <row r="29" spans="1:19" x14ac:dyDescent="0.25">
      <c r="A29" s="11">
        <v>28</v>
      </c>
      <c r="B29" s="5">
        <v>176</v>
      </c>
      <c r="C29" s="6">
        <v>1</v>
      </c>
      <c r="D29" s="7">
        <v>3</v>
      </c>
      <c r="E29" s="18">
        <v>2.46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1</v>
      </c>
      <c r="L29" s="9">
        <v>0</v>
      </c>
      <c r="M29" s="7">
        <v>0</v>
      </c>
      <c r="N29" s="10">
        <v>22</v>
      </c>
      <c r="O29" s="7">
        <v>0</v>
      </c>
      <c r="P29" s="24">
        <v>0</v>
      </c>
      <c r="Q29" s="24">
        <v>0</v>
      </c>
      <c r="R29" s="24">
        <v>64.52</v>
      </c>
      <c r="S29" s="24" t="s">
        <v>61</v>
      </c>
    </row>
    <row r="30" spans="1:19" x14ac:dyDescent="0.25">
      <c r="A30" s="11">
        <v>29</v>
      </c>
      <c r="B30" s="5">
        <v>171</v>
      </c>
      <c r="C30" s="6">
        <v>1</v>
      </c>
      <c r="D30" s="7">
        <v>3</v>
      </c>
      <c r="E30" s="18">
        <v>2.86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</v>
      </c>
      <c r="L30" s="9">
        <v>0</v>
      </c>
      <c r="M30" s="7">
        <v>0</v>
      </c>
      <c r="N30" s="10">
        <v>22</v>
      </c>
      <c r="O30" s="7">
        <v>0</v>
      </c>
      <c r="P30" s="24">
        <v>0</v>
      </c>
      <c r="Q30" s="24">
        <v>0</v>
      </c>
      <c r="R30" s="24">
        <v>94.8</v>
      </c>
      <c r="S30" s="24" t="s">
        <v>56</v>
      </c>
    </row>
    <row r="31" spans="1:19" x14ac:dyDescent="0.25">
      <c r="A31" s="11">
        <v>30</v>
      </c>
      <c r="B31" s="5">
        <v>156</v>
      </c>
      <c r="C31" s="6">
        <v>1</v>
      </c>
      <c r="D31" s="7">
        <v>1</v>
      </c>
      <c r="E31" s="18">
        <v>2.99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</v>
      </c>
      <c r="L31" s="9">
        <v>0</v>
      </c>
      <c r="M31" s="7">
        <v>0</v>
      </c>
      <c r="N31" s="10">
        <v>19</v>
      </c>
      <c r="O31" s="7">
        <v>0</v>
      </c>
      <c r="P31" s="24">
        <v>0</v>
      </c>
      <c r="Q31" s="24">
        <v>0</v>
      </c>
      <c r="R31" s="24">
        <v>87.62</v>
      </c>
      <c r="S31" s="24" t="s">
        <v>57</v>
      </c>
    </row>
    <row r="32" spans="1:19" x14ac:dyDescent="0.25">
      <c r="A32" s="11">
        <v>31</v>
      </c>
      <c r="B32" s="5">
        <v>183</v>
      </c>
      <c r="C32" s="6">
        <v>1</v>
      </c>
      <c r="D32" s="7">
        <v>2</v>
      </c>
      <c r="E32" s="18">
        <v>2.2999999999999998</v>
      </c>
      <c r="F32" s="7">
        <v>0</v>
      </c>
      <c r="G32" s="7">
        <v>0</v>
      </c>
      <c r="H32" s="7">
        <v>0</v>
      </c>
      <c r="I32" s="7">
        <v>0</v>
      </c>
      <c r="J32" s="7">
        <v>1</v>
      </c>
      <c r="K32" s="7">
        <v>1</v>
      </c>
      <c r="L32" s="9">
        <v>0</v>
      </c>
      <c r="M32" s="7">
        <v>1</v>
      </c>
      <c r="N32" s="10">
        <v>19</v>
      </c>
      <c r="O32" s="7">
        <v>0</v>
      </c>
      <c r="P32" s="24">
        <v>0</v>
      </c>
      <c r="Q32" s="24">
        <v>0</v>
      </c>
      <c r="R32" s="24">
        <v>82.25</v>
      </c>
      <c r="S32" s="24" t="s">
        <v>62</v>
      </c>
    </row>
    <row r="33" spans="1:20" x14ac:dyDescent="0.25">
      <c r="A33" s="11">
        <v>32</v>
      </c>
      <c r="B33" s="5">
        <v>178</v>
      </c>
      <c r="C33" s="6">
        <v>1</v>
      </c>
      <c r="D33" s="7">
        <v>3</v>
      </c>
      <c r="E33" s="18">
        <v>3.32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1</v>
      </c>
      <c r="L33" s="9">
        <v>0</v>
      </c>
      <c r="M33" s="7">
        <v>1</v>
      </c>
      <c r="N33" s="10">
        <v>20</v>
      </c>
      <c r="O33" s="7">
        <v>1</v>
      </c>
      <c r="P33" s="24">
        <v>0</v>
      </c>
      <c r="Q33" s="24">
        <v>0</v>
      </c>
      <c r="R33" s="24">
        <v>95.69</v>
      </c>
      <c r="S33" s="24" t="s">
        <v>56</v>
      </c>
    </row>
    <row r="34" spans="1:20" x14ac:dyDescent="0.25">
      <c r="A34" s="11">
        <v>33</v>
      </c>
      <c r="B34" s="5">
        <v>190</v>
      </c>
      <c r="C34" s="6">
        <v>1</v>
      </c>
      <c r="D34" s="7">
        <v>2</v>
      </c>
      <c r="E34" s="18">
        <v>2.78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  <c r="L34" s="9">
        <v>0</v>
      </c>
      <c r="M34" s="7">
        <v>0</v>
      </c>
      <c r="N34" s="10">
        <v>20</v>
      </c>
      <c r="O34" s="7">
        <v>1</v>
      </c>
      <c r="P34" s="24">
        <v>0</v>
      </c>
      <c r="Q34" s="24">
        <v>0</v>
      </c>
      <c r="R34" s="24">
        <v>93.02</v>
      </c>
      <c r="S34" s="24" t="s">
        <v>59</v>
      </c>
    </row>
    <row r="35" spans="1:20" x14ac:dyDescent="0.25">
      <c r="A35" s="11">
        <v>34</v>
      </c>
      <c r="B35" s="5">
        <v>195</v>
      </c>
      <c r="C35" s="6">
        <v>1</v>
      </c>
      <c r="D35" s="7">
        <v>2</v>
      </c>
      <c r="E35" s="18">
        <v>0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  <c r="L35" s="9">
        <v>0</v>
      </c>
      <c r="M35" s="7">
        <v>0</v>
      </c>
      <c r="N35" s="10">
        <v>22</v>
      </c>
      <c r="O35" s="7">
        <v>1</v>
      </c>
      <c r="P35" s="24">
        <v>0</v>
      </c>
      <c r="Q35" s="24">
        <v>0</v>
      </c>
      <c r="R35" s="24"/>
      <c r="S35" s="24"/>
      <c r="T35" s="15" t="s">
        <v>17</v>
      </c>
    </row>
    <row r="36" spans="1:20" x14ac:dyDescent="0.25">
      <c r="A36" s="11">
        <v>35</v>
      </c>
      <c r="B36" s="5">
        <v>196</v>
      </c>
      <c r="C36" s="6">
        <v>1</v>
      </c>
      <c r="D36" s="7">
        <v>2</v>
      </c>
      <c r="E36" s="18">
        <v>3.91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  <c r="L36" s="9">
        <v>0</v>
      </c>
      <c r="M36" s="7">
        <v>0</v>
      </c>
      <c r="N36" s="10">
        <v>19</v>
      </c>
      <c r="O36" s="7">
        <v>1</v>
      </c>
      <c r="P36" s="24">
        <v>0</v>
      </c>
      <c r="Q36" s="24">
        <v>0</v>
      </c>
      <c r="R36" s="24">
        <v>91.22</v>
      </c>
      <c r="S36" s="24" t="str">
        <f>_xlfn.XLOOKUP(B:B,'[1]DE_ID_Final grades '!$A:$A,'[1]DE_ID_Final grades '!$H:$H)</f>
        <v>A-</v>
      </c>
    </row>
    <row r="37" spans="1:20" x14ac:dyDescent="0.25">
      <c r="A37" s="11">
        <v>36</v>
      </c>
      <c r="B37" s="5">
        <v>197</v>
      </c>
      <c r="C37" s="6">
        <v>6</v>
      </c>
      <c r="D37" s="7">
        <v>4</v>
      </c>
      <c r="E37" s="18">
        <v>3.76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1</v>
      </c>
      <c r="L37" s="9">
        <v>0</v>
      </c>
      <c r="M37" s="7">
        <v>1</v>
      </c>
      <c r="N37" s="10">
        <v>21</v>
      </c>
      <c r="O37" s="7">
        <v>1</v>
      </c>
      <c r="P37" s="24">
        <v>0</v>
      </c>
      <c r="Q37" s="24">
        <v>0</v>
      </c>
      <c r="R37" s="24">
        <v>95.94</v>
      </c>
      <c r="S37" s="24" t="str">
        <f>_xlfn.XLOOKUP(B:B,'[1]DE_ID_Final grades '!$A:$A,'[1]DE_ID_Final grades '!$H:$H)</f>
        <v>A</v>
      </c>
    </row>
    <row r="38" spans="1:20" x14ac:dyDescent="0.25">
      <c r="A38" s="11">
        <v>37</v>
      </c>
      <c r="B38" s="5">
        <v>167</v>
      </c>
      <c r="C38" s="6">
        <v>1</v>
      </c>
      <c r="D38" s="7">
        <v>1</v>
      </c>
      <c r="E38" s="18">
        <v>3.93</v>
      </c>
      <c r="F38" s="7">
        <v>0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9">
        <v>0</v>
      </c>
      <c r="M38" s="7">
        <v>0</v>
      </c>
      <c r="N38" s="10">
        <v>20</v>
      </c>
      <c r="O38" s="7">
        <v>0</v>
      </c>
      <c r="P38" s="24">
        <v>0</v>
      </c>
      <c r="Q38" s="24">
        <v>0</v>
      </c>
      <c r="R38" s="24">
        <v>91.36</v>
      </c>
      <c r="S38" s="24" t="str">
        <f>_xlfn.XLOOKUP(B:B,'[1]DE_ID_Final grades '!$A:$A,'[1]DE_ID_Final grades '!$H:$H)</f>
        <v>A-</v>
      </c>
    </row>
    <row r="39" spans="1:20" x14ac:dyDescent="0.25">
      <c r="A39" s="11">
        <v>38</v>
      </c>
      <c r="B39" s="5">
        <v>187</v>
      </c>
      <c r="C39" s="6">
        <v>1</v>
      </c>
      <c r="D39" s="7">
        <v>2</v>
      </c>
      <c r="E39" s="18">
        <v>3.45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1</v>
      </c>
      <c r="L39" s="9">
        <v>0</v>
      </c>
      <c r="M39" s="7">
        <v>0</v>
      </c>
      <c r="N39" s="10">
        <v>20</v>
      </c>
      <c r="O39" s="7">
        <v>0</v>
      </c>
      <c r="P39" s="24">
        <v>0</v>
      </c>
      <c r="Q39" s="24">
        <v>0</v>
      </c>
      <c r="R39" s="24">
        <v>91.02</v>
      </c>
      <c r="S39" s="24" t="str">
        <f>_xlfn.XLOOKUP(B:B,'[1]DE_ID_Final grades '!$A:$A,'[1]DE_ID_Final grades '!$H:$H)</f>
        <v>A-</v>
      </c>
    </row>
    <row r="40" spans="1:20" x14ac:dyDescent="0.25">
      <c r="A40" s="11">
        <v>39</v>
      </c>
      <c r="B40" s="5">
        <v>185</v>
      </c>
      <c r="C40" s="6">
        <v>1</v>
      </c>
      <c r="D40" s="7">
        <v>4</v>
      </c>
      <c r="E40" s="18">
        <v>3.59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1</v>
      </c>
      <c r="L40" s="9">
        <v>0</v>
      </c>
      <c r="M40" s="7">
        <v>1</v>
      </c>
      <c r="N40" s="10">
        <v>21</v>
      </c>
      <c r="O40" s="7">
        <v>0</v>
      </c>
      <c r="P40" s="24">
        <v>0</v>
      </c>
      <c r="Q40" s="24">
        <v>0</v>
      </c>
      <c r="R40" s="24">
        <v>94.37</v>
      </c>
      <c r="S40" s="24" t="str">
        <f>_xlfn.XLOOKUP(B:B,'[1]DE_ID_Final grades '!$A:$A,'[1]DE_ID_Final grades '!$H:$H)</f>
        <v>A</v>
      </c>
    </row>
    <row r="41" spans="1:20" x14ac:dyDescent="0.25">
      <c r="A41" s="11">
        <v>40</v>
      </c>
      <c r="B41" s="5">
        <v>193</v>
      </c>
      <c r="C41" s="6">
        <v>1</v>
      </c>
      <c r="D41" s="7">
        <v>2</v>
      </c>
      <c r="E41" s="18">
        <v>3.37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1</v>
      </c>
      <c r="L41" s="9">
        <v>0</v>
      </c>
      <c r="M41" s="7">
        <v>1</v>
      </c>
      <c r="N41" s="10">
        <v>19</v>
      </c>
      <c r="O41" s="7">
        <v>1</v>
      </c>
      <c r="P41" s="24">
        <v>1</v>
      </c>
      <c r="Q41" s="24">
        <v>3</v>
      </c>
      <c r="R41" s="24">
        <v>95.18</v>
      </c>
      <c r="S41" s="24" t="str">
        <f>_xlfn.XLOOKUP(B:B,'[1]DE_ID_Final grades '!$A:$A,'[1]DE_ID_Final grades '!$H:$H)</f>
        <v>A</v>
      </c>
    </row>
    <row r="42" spans="1:20" x14ac:dyDescent="0.25">
      <c r="A42" s="11">
        <v>41</v>
      </c>
      <c r="B42" s="5">
        <v>170</v>
      </c>
      <c r="C42" s="6">
        <v>1</v>
      </c>
      <c r="D42" s="7">
        <v>3</v>
      </c>
      <c r="E42" s="18">
        <v>3.88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1</v>
      </c>
      <c r="L42" s="9">
        <v>0</v>
      </c>
      <c r="M42" s="7">
        <v>0</v>
      </c>
      <c r="N42" s="10">
        <v>19</v>
      </c>
      <c r="O42" s="7">
        <v>1</v>
      </c>
      <c r="P42" s="24">
        <v>0</v>
      </c>
      <c r="Q42" s="24">
        <v>0</v>
      </c>
      <c r="R42" s="24">
        <v>91.8</v>
      </c>
      <c r="S42" s="24" t="str">
        <f>_xlfn.XLOOKUP(B:B,'[1]DE_ID_Final grades '!$A:$A,'[1]DE_ID_Final grades '!$H:$H)</f>
        <v>A-</v>
      </c>
    </row>
    <row r="43" spans="1:20" x14ac:dyDescent="0.25">
      <c r="A43" s="11">
        <v>42</v>
      </c>
      <c r="B43" s="5">
        <v>155</v>
      </c>
      <c r="C43" s="6">
        <v>1</v>
      </c>
      <c r="D43" s="7">
        <v>2</v>
      </c>
      <c r="E43" s="18">
        <v>3.81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1</v>
      </c>
      <c r="L43" s="9">
        <v>0</v>
      </c>
      <c r="M43" s="7">
        <v>1</v>
      </c>
      <c r="N43" s="10">
        <v>19</v>
      </c>
      <c r="O43" s="7">
        <v>0</v>
      </c>
      <c r="P43" s="24">
        <v>0</v>
      </c>
      <c r="Q43" s="24">
        <v>0</v>
      </c>
      <c r="R43" s="24">
        <v>96.04</v>
      </c>
      <c r="S43" s="24" t="str">
        <f>_xlfn.XLOOKUP(B:B,'[1]DE_ID_Final grades '!$A:$A,'[1]DE_ID_Final grades '!$H:$H)</f>
        <v>A</v>
      </c>
    </row>
    <row r="44" spans="1:20" x14ac:dyDescent="0.25">
      <c r="A44" s="11">
        <v>43</v>
      </c>
      <c r="B44" s="5">
        <v>186</v>
      </c>
      <c r="C44" s="6">
        <v>1</v>
      </c>
      <c r="D44" s="7">
        <v>2</v>
      </c>
      <c r="E44" s="18">
        <v>2.2799999999999998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1</v>
      </c>
      <c r="L44" s="9">
        <v>0</v>
      </c>
      <c r="M44" s="7">
        <v>0</v>
      </c>
      <c r="N44" s="10">
        <v>20</v>
      </c>
      <c r="O44" s="7">
        <v>1</v>
      </c>
      <c r="P44" s="24">
        <v>0</v>
      </c>
      <c r="Q44" s="24">
        <v>0</v>
      </c>
      <c r="R44" s="24">
        <v>92.09</v>
      </c>
      <c r="S44" s="24" t="str">
        <f>_xlfn.XLOOKUP(B:B,'[1]DE_ID_Final grades '!$A:$A,'[1]DE_ID_Final grades '!$H:$H)</f>
        <v>A-</v>
      </c>
    </row>
    <row r="45" spans="1:20" x14ac:dyDescent="0.25">
      <c r="A45" s="11">
        <v>44</v>
      </c>
      <c r="B45" s="5">
        <v>194</v>
      </c>
      <c r="C45" s="6">
        <v>1</v>
      </c>
      <c r="D45" s="7">
        <v>3</v>
      </c>
      <c r="E45" s="18">
        <v>2.44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7">
        <v>0</v>
      </c>
      <c r="L45" s="9">
        <v>0</v>
      </c>
      <c r="M45" s="7">
        <v>0</v>
      </c>
      <c r="N45" s="10">
        <v>21</v>
      </c>
      <c r="O45" s="7">
        <v>0</v>
      </c>
      <c r="P45" s="24">
        <v>0</v>
      </c>
      <c r="Q45" s="24">
        <v>0</v>
      </c>
      <c r="R45" s="24">
        <v>80.540000000000006</v>
      </c>
      <c r="S45" s="24" t="str">
        <f>_xlfn.XLOOKUP(B:B,'[1]DE_ID_Final grades '!$A:$A,'[1]DE_ID_Final grades '!$H:$H)</f>
        <v>B-</v>
      </c>
    </row>
    <row r="46" spans="1:20" x14ac:dyDescent="0.25">
      <c r="A46" s="11">
        <v>45</v>
      </c>
      <c r="B46" s="5">
        <v>179</v>
      </c>
      <c r="C46" s="6">
        <v>1</v>
      </c>
      <c r="D46" s="7">
        <v>2</v>
      </c>
      <c r="E46" s="18">
        <v>2.98</v>
      </c>
      <c r="F46" s="7">
        <v>0</v>
      </c>
      <c r="G46" s="7">
        <v>0</v>
      </c>
      <c r="H46" s="7">
        <v>0</v>
      </c>
      <c r="I46" s="7">
        <v>0</v>
      </c>
      <c r="J46" s="7">
        <v>1</v>
      </c>
      <c r="K46" s="7">
        <v>1</v>
      </c>
      <c r="L46" s="9">
        <v>0</v>
      </c>
      <c r="M46" s="7">
        <v>1</v>
      </c>
      <c r="N46" s="10">
        <v>20</v>
      </c>
      <c r="O46" s="7">
        <v>0</v>
      </c>
      <c r="P46" s="24">
        <v>0</v>
      </c>
      <c r="Q46" s="24">
        <v>0</v>
      </c>
      <c r="R46" s="24">
        <v>91.8</v>
      </c>
      <c r="S46" s="24" t="str">
        <f>_xlfn.XLOOKUP(B:B,'[1]DE_ID_Final grades '!$A:$A,'[1]DE_ID_Final grades '!$H:$H)</f>
        <v>A-</v>
      </c>
    </row>
    <row r="47" spans="1:20" x14ac:dyDescent="0.25">
      <c r="A47" s="11">
        <v>46</v>
      </c>
      <c r="B47" s="5">
        <v>188</v>
      </c>
      <c r="C47" s="6">
        <v>1</v>
      </c>
      <c r="D47" s="7">
        <v>1</v>
      </c>
      <c r="E47" s="18">
        <v>3.22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1</v>
      </c>
      <c r="L47" s="9">
        <v>0</v>
      </c>
      <c r="M47" s="7">
        <v>0</v>
      </c>
      <c r="N47" s="10">
        <v>19</v>
      </c>
      <c r="O47" s="7">
        <v>1</v>
      </c>
      <c r="P47" s="24">
        <v>0</v>
      </c>
      <c r="Q47" s="24">
        <v>0</v>
      </c>
      <c r="R47" s="24">
        <v>90.48</v>
      </c>
      <c r="S47" s="24" t="str">
        <f>_xlfn.XLOOKUP(B:B,'[1]DE_ID_Final grades '!$A:$A,'[1]DE_ID_Final grades '!$H:$H)</f>
        <v>A-</v>
      </c>
    </row>
    <row r="48" spans="1:20" x14ac:dyDescent="0.25">
      <c r="A48" s="11">
        <v>47</v>
      </c>
      <c r="B48" s="5">
        <v>191</v>
      </c>
      <c r="C48" s="6">
        <v>1</v>
      </c>
      <c r="D48" s="7">
        <v>2</v>
      </c>
      <c r="E48" s="18">
        <v>2.86</v>
      </c>
      <c r="F48" s="7">
        <v>1</v>
      </c>
      <c r="G48" s="7">
        <v>0</v>
      </c>
      <c r="H48" s="7">
        <v>1</v>
      </c>
      <c r="I48" s="7">
        <v>0</v>
      </c>
      <c r="J48" s="7">
        <v>0</v>
      </c>
      <c r="K48" s="7">
        <v>1</v>
      </c>
      <c r="L48" s="9">
        <v>1</v>
      </c>
      <c r="M48" s="7">
        <v>0</v>
      </c>
      <c r="N48" s="10">
        <v>21</v>
      </c>
      <c r="O48" s="7">
        <v>0</v>
      </c>
      <c r="P48" s="24">
        <v>0</v>
      </c>
      <c r="Q48" s="24">
        <v>0</v>
      </c>
      <c r="R48" s="24">
        <v>92.73</v>
      </c>
      <c r="S48" s="24" t="str">
        <f>_xlfn.XLOOKUP(B:B,'[1]DE_ID_Final grades '!$A:$A,'[1]DE_ID_Final grades '!$H:$H)</f>
        <v>A-</v>
      </c>
    </row>
    <row r="49" spans="1:19" x14ac:dyDescent="0.25">
      <c r="A49" s="11">
        <v>48</v>
      </c>
      <c r="B49" s="5">
        <v>157</v>
      </c>
      <c r="C49" s="6">
        <v>1</v>
      </c>
      <c r="D49" s="7">
        <v>2</v>
      </c>
      <c r="E49" s="18">
        <v>3.63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1</v>
      </c>
      <c r="L49" s="9">
        <v>0</v>
      </c>
      <c r="M49" s="7">
        <v>0</v>
      </c>
      <c r="N49" s="10">
        <v>19</v>
      </c>
      <c r="O49" s="7">
        <v>0</v>
      </c>
      <c r="P49" s="24">
        <v>0</v>
      </c>
      <c r="Q49" s="24">
        <v>0</v>
      </c>
      <c r="R49" s="24">
        <v>90.76</v>
      </c>
      <c r="S49" s="24" t="str">
        <f>_xlfn.XLOOKUP(B:B,'[1]DE_ID_Final grades '!$A:$A,'[1]DE_ID_Final grades '!$H:$H)</f>
        <v>A-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3069-B2DB-432C-B772-859A93B9849F}">
  <dimension ref="A1:C38"/>
  <sheetViews>
    <sheetView workbookViewId="0">
      <selection activeCell="C39" sqref="C39"/>
    </sheetView>
  </sheetViews>
  <sheetFormatPr defaultRowHeight="15" x14ac:dyDescent="0.25"/>
  <cols>
    <col min="2" max="2" width="22.85546875" customWidth="1"/>
    <col min="3" max="3" width="51.42578125" customWidth="1"/>
  </cols>
  <sheetData>
    <row r="1" spans="1:3" x14ac:dyDescent="0.25">
      <c r="C1" s="17" t="s">
        <v>18</v>
      </c>
    </row>
    <row r="2" spans="1:3" x14ac:dyDescent="0.25">
      <c r="A2" s="12" t="s">
        <v>19</v>
      </c>
      <c r="B2" s="12" t="s">
        <v>20</v>
      </c>
      <c r="C2" t="s">
        <v>21</v>
      </c>
    </row>
    <row r="3" spans="1:3" x14ac:dyDescent="0.25">
      <c r="A3" s="13">
        <v>1</v>
      </c>
      <c r="B3" s="13" t="s">
        <v>22</v>
      </c>
    </row>
    <row r="4" spans="1:3" x14ac:dyDescent="0.25">
      <c r="A4" s="13">
        <v>2</v>
      </c>
      <c r="B4" s="13" t="s">
        <v>23</v>
      </c>
    </row>
    <row r="5" spans="1:3" ht="30" x14ac:dyDescent="0.25">
      <c r="A5" s="13">
        <v>3</v>
      </c>
      <c r="B5" s="13" t="s">
        <v>24</v>
      </c>
    </row>
    <row r="6" spans="1:3" x14ac:dyDescent="0.25">
      <c r="A6" s="13">
        <v>4</v>
      </c>
      <c r="B6" s="13" t="s">
        <v>25</v>
      </c>
    </row>
    <row r="7" spans="1:3" x14ac:dyDescent="0.25">
      <c r="A7" s="13">
        <v>5</v>
      </c>
      <c r="B7" s="13" t="s">
        <v>26</v>
      </c>
    </row>
    <row r="8" spans="1:3" x14ac:dyDescent="0.25">
      <c r="A8" s="13">
        <v>6</v>
      </c>
      <c r="B8" s="13" t="s">
        <v>27</v>
      </c>
    </row>
    <row r="9" spans="1:3" x14ac:dyDescent="0.25">
      <c r="A9" s="8"/>
      <c r="B9" s="8"/>
    </row>
    <row r="10" spans="1:3" x14ac:dyDescent="0.25">
      <c r="A10" s="14" t="s">
        <v>28</v>
      </c>
      <c r="B10" s="14" t="s">
        <v>29</v>
      </c>
      <c r="C10" t="s">
        <v>21</v>
      </c>
    </row>
    <row r="11" spans="1:3" x14ac:dyDescent="0.25">
      <c r="A11" s="13">
        <v>1</v>
      </c>
      <c r="B11" s="13" t="s">
        <v>30</v>
      </c>
    </row>
    <row r="12" spans="1:3" x14ac:dyDescent="0.25">
      <c r="A12" s="13">
        <v>2</v>
      </c>
      <c r="B12" s="13" t="s">
        <v>31</v>
      </c>
    </row>
    <row r="13" spans="1:3" x14ac:dyDescent="0.25">
      <c r="A13" s="13">
        <v>3</v>
      </c>
      <c r="B13" s="13" t="s">
        <v>32</v>
      </c>
    </row>
    <row r="14" spans="1:3" x14ac:dyDescent="0.25">
      <c r="A14" s="13">
        <v>4</v>
      </c>
      <c r="B14" s="13" t="s">
        <v>33</v>
      </c>
    </row>
    <row r="15" spans="1:3" x14ac:dyDescent="0.25">
      <c r="A15" s="8"/>
      <c r="B15" s="8"/>
    </row>
    <row r="16" spans="1:3" x14ac:dyDescent="0.25">
      <c r="A16" s="12" t="s">
        <v>19</v>
      </c>
      <c r="B16" s="14" t="s">
        <v>34</v>
      </c>
      <c r="C16" t="s">
        <v>35</v>
      </c>
    </row>
    <row r="17" spans="1:3" x14ac:dyDescent="0.25">
      <c r="A17" s="13">
        <v>0</v>
      </c>
      <c r="B17" s="13" t="s">
        <v>36</v>
      </c>
    </row>
    <row r="18" spans="1:3" x14ac:dyDescent="0.25">
      <c r="A18" s="13">
        <v>1</v>
      </c>
      <c r="B18" s="13" t="s">
        <v>37</v>
      </c>
    </row>
    <row r="19" spans="1:3" x14ac:dyDescent="0.25">
      <c r="A19" s="8"/>
      <c r="B19" s="8"/>
    </row>
    <row r="20" spans="1:3" x14ac:dyDescent="0.25">
      <c r="A20" s="12" t="s">
        <v>19</v>
      </c>
      <c r="B20" s="12" t="s">
        <v>38</v>
      </c>
      <c r="C20" t="s">
        <v>35</v>
      </c>
    </row>
    <row r="21" spans="1:3" x14ac:dyDescent="0.25">
      <c r="A21" s="8">
        <v>0</v>
      </c>
      <c r="B21" s="8" t="s">
        <v>39</v>
      </c>
    </row>
    <row r="22" spans="1:3" x14ac:dyDescent="0.25">
      <c r="A22" s="8">
        <v>1</v>
      </c>
      <c r="B22" s="8" t="s">
        <v>40</v>
      </c>
    </row>
    <row r="23" spans="1:3" x14ac:dyDescent="0.25">
      <c r="A23" s="8"/>
      <c r="B23" s="8"/>
    </row>
    <row r="24" spans="1:3" x14ac:dyDescent="0.25">
      <c r="A24" s="12" t="s">
        <v>19</v>
      </c>
      <c r="B24" s="12" t="s">
        <v>41</v>
      </c>
      <c r="C24" t="s">
        <v>35</v>
      </c>
    </row>
    <row r="25" spans="1:3" x14ac:dyDescent="0.25">
      <c r="A25" s="8">
        <v>0</v>
      </c>
      <c r="B25" s="8" t="s">
        <v>42</v>
      </c>
    </row>
    <row r="26" spans="1:3" x14ac:dyDescent="0.25">
      <c r="A26" s="8">
        <v>1</v>
      </c>
      <c r="B26" s="8" t="s">
        <v>43</v>
      </c>
    </row>
    <row r="28" spans="1:3" x14ac:dyDescent="0.25">
      <c r="A28" s="19" t="s">
        <v>19</v>
      </c>
      <c r="B28" s="19" t="s">
        <v>44</v>
      </c>
      <c r="C28" t="s">
        <v>35</v>
      </c>
    </row>
    <row r="29" spans="1:3" x14ac:dyDescent="0.25">
      <c r="A29">
        <v>0</v>
      </c>
      <c r="B29" t="s">
        <v>36</v>
      </c>
    </row>
    <row r="30" spans="1:3" x14ac:dyDescent="0.25">
      <c r="A30">
        <v>1</v>
      </c>
      <c r="B30" t="s">
        <v>37</v>
      </c>
    </row>
    <row r="32" spans="1:3" ht="30" x14ac:dyDescent="0.25">
      <c r="A32" s="20" t="s">
        <v>19</v>
      </c>
      <c r="B32" s="20" t="s">
        <v>45</v>
      </c>
      <c r="C32" t="s">
        <v>21</v>
      </c>
    </row>
    <row r="33" spans="1:2" x14ac:dyDescent="0.25">
      <c r="A33">
        <v>0</v>
      </c>
      <c r="B33" t="s">
        <v>46</v>
      </c>
    </row>
    <row r="34" spans="1:2" x14ac:dyDescent="0.25">
      <c r="A34">
        <v>1</v>
      </c>
      <c r="B34" t="s">
        <v>47</v>
      </c>
    </row>
    <row r="35" spans="1:2" x14ac:dyDescent="0.25">
      <c r="A35">
        <v>2</v>
      </c>
      <c r="B35" t="s">
        <v>48</v>
      </c>
    </row>
    <row r="36" spans="1:2" x14ac:dyDescent="0.25">
      <c r="A36">
        <v>3</v>
      </c>
      <c r="B36" t="s">
        <v>49</v>
      </c>
    </row>
    <row r="38" spans="1:2" x14ac:dyDescent="0.25">
      <c r="A38" t="s">
        <v>16</v>
      </c>
      <c r="B3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data_sheet</vt:lpstr>
      <vt:lpstr>code_book</vt:lpstr>
    </vt:vector>
  </TitlesOfParts>
  <Manager/>
  <Company>Colorado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Bennett,Jenny</dc:creator>
  <cp:keywords/>
  <dc:description/>
  <cp:lastModifiedBy>Chenarides,Lauren</cp:lastModifiedBy>
  <cp:revision/>
  <dcterms:created xsi:type="dcterms:W3CDTF">2025-10-07T21:46:46Z</dcterms:created>
  <dcterms:modified xsi:type="dcterms:W3CDTF">2026-04-30T01:13:24Z</dcterms:modified>
  <cp:category/>
  <cp:contentStatus/>
</cp:coreProperties>
</file>
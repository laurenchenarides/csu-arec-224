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olostate-my.sharepoint.com/personal/lachenar_colostate_edu/Documents/Teaching/TILT/TILT_Research_Fellowship_25-26/Data/00_de-identified_data/"/>
    </mc:Choice>
  </mc:AlternateContent>
  <xr:revisionPtr revIDLastSave="261" documentId="8_{3C2A6B7C-4A92-4AC7-8F9E-BACEC210700A}" xr6:coauthVersionLast="47" xr6:coauthVersionMax="47" xr10:uidLastSave="{68D5F5D8-90A1-4592-96EE-B229F7D9D3A8}"/>
  <bookViews>
    <workbookView xWindow="28680" yWindow="-120" windowWidth="29040" windowHeight="17520" tabRatio="784" xr2:uid="{8879859B-AAD6-4FF0-BD1D-967447C54A03}"/>
  </bookViews>
  <sheets>
    <sheet name="Pre-Post-Q-Xwalk" sheetId="22" r:id="rId1"/>
    <sheet name="Pre-Survey&gt;&gt;&gt;" sheetId="6" r:id="rId2"/>
    <sheet name="Pre-Survey_Code Book" sheetId="20" r:id="rId3"/>
    <sheet name="Pre-Survey_Quant" sheetId="3" r:id="rId4"/>
    <sheet name="Pre-Survey_Qual" sheetId="4" r:id="rId5"/>
    <sheet name="Post-Survey&gt;&gt;&gt;" sheetId="11" r:id="rId6"/>
    <sheet name="Post-Survey_Code Book" sheetId="14" r:id="rId7"/>
    <sheet name="Post-Survey_Quant" sheetId="16" r:id="rId8"/>
    <sheet name="Post-Survey_Qual" sheetId="15" r:id="rId9"/>
    <sheet name="Pre-Post-IDP-Xwalk" sheetId="23" r:id="rId10"/>
    <sheet name="Pre-EIDP&gt;&gt;&gt;" sheetId="7" r:id="rId11"/>
    <sheet name="Pre-EIDP_Code Book" sheetId="9" r:id="rId12"/>
    <sheet name="Pre-EIDP_data" sheetId="10" r:id="rId13"/>
    <sheet name="Post-EIDP&gt;&gt;&gt;" sheetId="12" r:id="rId14"/>
    <sheet name="Post-EIDP_Code Book" sheetId="18" r:id="rId15"/>
    <sheet name="Post-EIDP_data" sheetId="19" r:id="rId16"/>
  </sheets>
  <calcPr calcId="191029"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23" l="1"/>
  <c r="C18" i="23"/>
  <c r="C17" i="23"/>
  <c r="C16" i="23"/>
  <c r="C15" i="23"/>
  <c r="C13" i="23"/>
  <c r="C12" i="23"/>
  <c r="C11" i="23"/>
  <c r="C10" i="23"/>
  <c r="C9" i="23"/>
  <c r="C7" i="23"/>
  <c r="C6" i="23"/>
  <c r="C5" i="23"/>
  <c r="C4" i="23"/>
  <c r="C3" i="23"/>
  <c r="C16" i="22"/>
  <c r="C17" i="22"/>
  <c r="C18" i="22"/>
  <c r="C19" i="22"/>
  <c r="C20" i="22"/>
  <c r="C21" i="22"/>
  <c r="C22" i="22"/>
  <c r="C23" i="22"/>
  <c r="C24" i="22"/>
  <c r="C25" i="22"/>
  <c r="C26" i="22"/>
  <c r="C27" i="22"/>
  <c r="C30" i="22"/>
  <c r="C31" i="22"/>
  <c r="C32" i="22"/>
  <c r="C33" i="22"/>
  <c r="C34" i="22"/>
  <c r="C35" i="22"/>
  <c r="C36" i="22"/>
  <c r="C37" i="22"/>
  <c r="C38" i="22"/>
  <c r="C39" i="22"/>
  <c r="C40" i="22"/>
  <c r="C41" i="22"/>
  <c r="C42" i="22"/>
  <c r="C43" i="22"/>
  <c r="C44" i="22"/>
  <c r="C45" i="22"/>
  <c r="C46" i="22"/>
  <c r="C47" i="22"/>
  <c r="C48" i="22"/>
  <c r="C49" i="22"/>
  <c r="C50" i="22"/>
  <c r="C51" i="22"/>
  <c r="C52" i="22"/>
  <c r="C53" i="22"/>
  <c r="C56" i="22"/>
  <c r="C57" i="22"/>
  <c r="C58" i="22"/>
  <c r="C59" i="22"/>
  <c r="C60" i="22"/>
  <c r="C61" i="22"/>
  <c r="C62" i="22"/>
  <c r="C63" i="22"/>
  <c r="C64" i="22"/>
  <c r="C65" i="22"/>
  <c r="C66" i="22"/>
  <c r="C67" i="22"/>
  <c r="C70" i="22"/>
  <c r="C71" i="22"/>
  <c r="C72" i="22"/>
  <c r="C73" i="22"/>
  <c r="C74" i="22"/>
  <c r="C75" i="22"/>
  <c r="C76" i="22"/>
  <c r="C77" i="22"/>
  <c r="C78" i="22"/>
  <c r="C79" i="22"/>
  <c r="C80" i="22"/>
  <c r="C81" i="22"/>
  <c r="C82" i="22"/>
  <c r="C83" i="22"/>
  <c r="C84" i="22"/>
  <c r="C85" i="22"/>
  <c r="C86" i="22"/>
  <c r="C87" i="22"/>
  <c r="C88" i="22"/>
  <c r="C89" i="22"/>
  <c r="C90" i="22"/>
  <c r="C91" i="22"/>
  <c r="C92" i="22"/>
  <c r="C93" i="22"/>
  <c r="C94" i="22"/>
  <c r="B19" i="7"/>
  <c r="B18" i="7"/>
  <c r="B17" i="7"/>
  <c r="B16" i="7"/>
  <c r="B15" i="7"/>
  <c r="B13" i="7"/>
  <c r="B12" i="7"/>
  <c r="B11" i="7"/>
  <c r="B10" i="7"/>
  <c r="B9" i="7"/>
  <c r="B4" i="7"/>
  <c r="B5" i="7"/>
  <c r="B6" i="7"/>
  <c r="B7" i="7"/>
  <c r="B3" i="7"/>
  <c r="B16" i="6"/>
  <c r="B85" i="6"/>
  <c r="B86" i="6"/>
  <c r="B87" i="6"/>
  <c r="B88" i="6"/>
  <c r="B89" i="6"/>
  <c r="B90" i="6"/>
  <c r="B91" i="6"/>
  <c r="B92" i="6"/>
  <c r="B93" i="6"/>
  <c r="B94" i="6"/>
  <c r="B84" i="6"/>
  <c r="B83" i="6"/>
  <c r="B82" i="6"/>
  <c r="B81" i="6"/>
  <c r="B80" i="6"/>
  <c r="B79" i="6"/>
  <c r="B78" i="6"/>
  <c r="B77" i="6"/>
  <c r="B76" i="6"/>
  <c r="B71" i="6"/>
  <c r="B72" i="6"/>
  <c r="B73" i="6"/>
  <c r="B74" i="6"/>
  <c r="B75" i="6"/>
  <c r="B70" i="6"/>
  <c r="B57" i="6"/>
  <c r="B58" i="6"/>
  <c r="B59" i="6"/>
  <c r="B60" i="6"/>
  <c r="B61" i="6"/>
  <c r="B62" i="6"/>
  <c r="B63" i="6"/>
  <c r="B64" i="6"/>
  <c r="B65" i="6"/>
  <c r="B66" i="6"/>
  <c r="B67" i="6"/>
  <c r="B56" i="6"/>
  <c r="B43" i="6"/>
  <c r="B44" i="6"/>
  <c r="B45" i="6"/>
  <c r="B46" i="6"/>
  <c r="B47" i="6"/>
  <c r="B48" i="6"/>
  <c r="B49" i="6"/>
  <c r="B50" i="6"/>
  <c r="B51" i="6"/>
  <c r="B52" i="6"/>
  <c r="B53" i="6"/>
  <c r="B42" i="6"/>
  <c r="B31" i="6"/>
  <c r="B32" i="6"/>
  <c r="B33" i="6"/>
  <c r="B34" i="6"/>
  <c r="B35" i="6"/>
  <c r="B36" i="6"/>
  <c r="B37" i="6"/>
  <c r="B38" i="6"/>
  <c r="B39" i="6"/>
  <c r="B40" i="6"/>
  <c r="B41" i="6"/>
  <c r="B30" i="6"/>
  <c r="B17" i="6"/>
  <c r="B18" i="6"/>
  <c r="B19" i="6"/>
  <c r="B20" i="6"/>
  <c r="B21" i="6"/>
  <c r="B22" i="6"/>
  <c r="B23" i="6"/>
  <c r="B24" i="6"/>
  <c r="B25" i="6"/>
  <c r="B26" i="6"/>
  <c r="B27" i="6"/>
</calcChain>
</file>

<file path=xl/sharedStrings.xml><?xml version="1.0" encoding="utf-8"?>
<sst xmlns="http://schemas.openxmlformats.org/spreadsheetml/2006/main" count="2973" uniqueCount="1367">
  <si>
    <t>Q11_PodConfidenceNeed</t>
  </si>
  <si>
    <t>Q17_CSConfidenceNeed</t>
  </si>
  <si>
    <t>Q21_BizConfNeed</t>
  </si>
  <si>
    <t>Q25_MentorSupportNeed</t>
  </si>
  <si>
    <t>Q30_PodGroupExplain</t>
  </si>
  <si>
    <t>Q34_BizGroupExplain</t>
  </si>
  <si>
    <t>Q35_MentGroupExplain</t>
  </si>
  <si>
    <t>no response</t>
  </si>
  <si>
    <t>I like working in groups</t>
  </si>
  <si>
    <t>Like I said, I like working in groups</t>
  </si>
  <si>
    <t>Given examples for what's needed and also learning how to format a script for a podcast, so we make sure we include all the necessary information.</t>
  </si>
  <si>
    <t xml:space="preserve">Good lecture on how to do one, and going over them after </t>
  </si>
  <si>
    <t>Just good feeback leading up to presentation and repetition/practice</t>
  </si>
  <si>
    <t>Discussion guide and information to read about each mentor</t>
  </si>
  <si>
    <t>Depends on who's in the group, but I've usually had good and productive group projects.</t>
  </si>
  <si>
    <t>Might take away from mentors availability to help but in a group project sounds helpful</t>
  </si>
  <si>
    <t>Knowing how to format what content we are going to say and having others review it.</t>
  </si>
  <si>
    <t>Having smaller group discussions first.</t>
  </si>
  <si>
    <t>Knowing how to present to a certain audience about our topic.</t>
  </si>
  <si>
    <t>Getting to know the mentor and classmates with the same mentor before jumping into the assignment.</t>
  </si>
  <si>
    <t>I think working in a group will be easier, more fun, and we could put together a better podcast than if we were working alone. I think being able to incorporate different ideas will work the best, especially because we do not have much podcast experience.</t>
  </si>
  <si>
    <t>I think working in a group will take the pressure off of it a little because all eyes are not just on one person. It will also be less overwhelming to create the presentation with multiple people working on it.</t>
  </si>
  <si>
    <t>I think having more people working with the mentor will be positive because it won't just be one on one, so I will be less nervous about finding things to talk about.</t>
  </si>
  <si>
    <t>Breaking down everything we need to do for it and how to do it.</t>
  </si>
  <si>
    <t>Fully understanding the case study.</t>
  </si>
  <si>
    <t>Doing it in groups.</t>
  </si>
  <si>
    <t>Everything listed in the example.</t>
  </si>
  <si>
    <t>I feel better working with a group because I've never done this before and am not confident in doing it alone.</t>
  </si>
  <si>
    <t>Again, I've never done this before so would feel more confident doing it with a group than alone.</t>
  </si>
  <si>
    <t>I've never done this before and maybe my group members haven't either so having a mentor will help.</t>
  </si>
  <si>
    <t>Having sets of detailed instructions and tips to help the process go smoothly.</t>
  </si>
  <si>
    <t>Knowing that the classroom is an open space and that I will not be judged if I present the wrong answer.</t>
  </si>
  <si>
    <t>Having a detailed outline of what is expected and how it will be graded. Also having resources to feel like I truly understand the case and it's contents.</t>
  </si>
  <si>
    <t xml:space="preserve">Having a discussion guide to help facilitate the first meeting as well as having some information I can read about my mentor to help give me background on the mentor, who they are and what they do. </t>
  </si>
  <si>
    <t xml:space="preserve">Being in a group I feel will make the experience better because when there are multiple people we can divide the task to try and give each member of the group tasks that they are comfortable with rather than me having to all the tasks on my own including the tasks I am very uncomfortable with. </t>
  </si>
  <si>
    <t xml:space="preserve">I think being in a group will make the experience more positive because in a group you can divide up the responsibilities rather than all the responsibilities falling on one person. </t>
  </si>
  <si>
    <t>Knowing the mentor will be working with 3 other classmates is helpful because I then know that all the pressure is not on me to get there full story.</t>
  </si>
  <si>
    <t>Understanding the concept and material. But that is a job for me to do</t>
  </si>
  <si>
    <t>I am a busy person who likes to work on my own. Making a podcast means I need to meet with people I don't know and discuss a subject that I'm not an expert in. It's an interesting approach, but one that I am wary of.</t>
  </si>
  <si>
    <t xml:space="preserve">It will be about researching a product and then presenting on that product. I am great at presenting and research, but I'm not sure how being in a group will go. </t>
  </si>
  <si>
    <t>I want to speak to the mentors I have ranked, because they will give me insight beyond just the class. They will give me insight into the career I want to enter after college. That is why I am excited.</t>
  </si>
  <si>
    <t>Having details and information to help back up my reasoning</t>
  </si>
  <si>
    <t>Having strong communication</t>
  </si>
  <si>
    <t xml:space="preserve">Group work is always challenging in situations where it relies on the group for a final project and putting people together. </t>
  </si>
  <si>
    <t>I'm not sure</t>
  </si>
  <si>
    <t>Getting feedback before submitting final presentation</t>
  </si>
  <si>
    <t>More information about each mentor would be useful</t>
  </si>
  <si>
    <t>Group projects/assignments usually work out very well or not well at all.</t>
  </si>
  <si>
    <t>I like the idea of the case study competition but I am not sure how other people will feel.</t>
  </si>
  <si>
    <t>I think having a mentor will be a good experience</t>
  </si>
  <si>
    <t>Get to know my class mates better</t>
  </si>
  <si>
    <t xml:space="preserve">Getting to know my class mates better
</t>
  </si>
  <si>
    <t>Having a discussion guide to help break the ice in the first meeting. Have information on the mentor before the meeting so I can do some preparation.</t>
  </si>
  <si>
    <t xml:space="preserve">It is a good way to make introductions and meet people. Ive never made a pod-cast and wouldnt know where to start. It would be good to have a group of people to help and create ideas </t>
  </si>
  <si>
    <t xml:space="preserve">Having people to do it with may take the stress off and make me feel more supported and comfortable </t>
  </si>
  <si>
    <t>It will be nice to relate to some others in the class, but on the other hand, it may feel competitive.</t>
  </si>
  <si>
    <t xml:space="preserve">I think it would be helpful if a standard was set to be able to try to replicate. I have no experience with a project like this so flexibility would also be helpful. </t>
  </si>
  <si>
    <t>Having information I can read about each mentor before my initial meeting.</t>
  </si>
  <si>
    <t xml:space="preserve">In the past, I have experienced group assignments to be positive and negative. Sometimes there groups that are a joy to work with and others that simply don't pull their own weight and can be frustrating. I much rather work individually in most cases. </t>
  </si>
  <si>
    <t xml:space="preserve">I have experienced positive and negative things with group activities. </t>
  </si>
  <si>
    <t xml:space="preserve">Not sure because I haven't experienced a dynamic like this activity before. </t>
  </si>
  <si>
    <t>A walk through on how to record and upload it.</t>
  </si>
  <si>
    <t>A rubric for how the case-study analysis should be done.</t>
  </si>
  <si>
    <t>Examples of other business case presentations.</t>
  </si>
  <si>
    <t>I think having more information about the mentors before the initial meeting with them would help me feel more confident/supported.</t>
  </si>
  <si>
    <t>At least for the first one being in a group would help me feel more confident about what I am doing and to make sure we are getting it right.</t>
  </si>
  <si>
    <t>I am not quite sure what the business case competition even is, or what it will look like. So being in a group will help with that.</t>
  </si>
  <si>
    <t>It won’t really change it</t>
  </si>
  <si>
    <t>Reviewing others podcasts</t>
  </si>
  <si>
    <t>Going over case studies in class.</t>
  </si>
  <si>
    <t>Presenting in groups or practicing with just a smaller portion of the class.</t>
  </si>
  <si>
    <t xml:space="preserve">Being able to reach out to the mentor outside of class, having a flexible schedule, being able to ask questions when needed, or going on trips outside of class. </t>
  </si>
  <si>
    <t xml:space="preserve">I feel like being in a group when making a podcast would be more exciting and I wouldn't feel nervous. </t>
  </si>
  <si>
    <t>I would prefer presenting in a group then presenting by myself. It does make me anxious knowing that it's a debate and people will ask question I may not know the answers to.</t>
  </si>
  <si>
    <t xml:space="preserve">Being able to express how I feel about the mentors with my peers would help my experience. I would like to be able to communicate with others who have the same mentor. </t>
  </si>
  <si>
    <t>I feel the step that will have me lost the most is editing so a little tutorial could be nice.</t>
  </si>
  <si>
    <t xml:space="preserve">I would say guidance through 1-2 case studies would be helpful. </t>
  </si>
  <si>
    <t xml:space="preserve">Again, guidance. Don't show me how to do the work but instead create a path.  </t>
  </si>
  <si>
    <t xml:space="preserve">Having a little bit of insight on the mentor beforehand would be helpful. </t>
  </si>
  <si>
    <t xml:space="preserve">I think I would feel more positive because areas I may struggle in, my peers may not struggle in. </t>
  </si>
  <si>
    <t>I will have my peers to look to when I get nervous and it will also help me know that I'm not the center of attention.</t>
  </si>
  <si>
    <t>I would have my peers to look to if needed.</t>
  </si>
  <si>
    <t>In class demenstrations</t>
  </si>
  <si>
    <t>Full class participation making it go easier</t>
  </si>
  <si>
    <t>Working with a good group</t>
  </si>
  <si>
    <t>Spend more time with the mentor so it feels more natural</t>
  </si>
  <si>
    <t xml:space="preserve">It makes it a lot less scary when you are not alone in the experience </t>
  </si>
  <si>
    <t>Group makes it better</t>
  </si>
  <si>
    <t>Having someone to mentor a group as well as having the group makes it better</t>
  </si>
  <si>
    <t xml:space="preserve">Maybe providing different layouts and structures for a podcast. </t>
  </si>
  <si>
    <t>Nothing really</t>
  </si>
  <si>
    <t>Nothing</t>
  </si>
  <si>
    <t>I'm unsure</t>
  </si>
  <si>
    <t xml:space="preserve">I love working in groups, but it can sometimes be challenging depending on the group so the unsure comes from not knowing who I'm working with. </t>
  </si>
  <si>
    <t xml:space="preserve">I think doing competitions is more fun when in teams. </t>
  </si>
  <si>
    <t xml:space="preserve">I hope that a mentor helping other people will not affect the effort given to me. </t>
  </si>
  <si>
    <t>In depth look into the editing part of the podcast</t>
  </si>
  <si>
    <t>A look into what leading a case study will look like</t>
  </si>
  <si>
    <t>A look at how the competition will run</t>
  </si>
  <si>
    <t>Having an email by the professor introducing me to the mentor</t>
  </si>
  <si>
    <t>Having multiple people to take on the assignment will help me feel less stress and hopefully fell like I don't have to do it all</t>
  </si>
  <si>
    <t>Having support while presenting the ideas would help me feel like I don't have to do it all and feel a bit more calm knowing we all are going through it together</t>
  </si>
  <si>
    <t>I am excited to work with someone who has the same interests as me and can show me what life could look like post grad. It's nice to know I won't be alone in the experience with the mentor and we will be learning together</t>
  </si>
  <si>
    <t xml:space="preserve">One thing that I think would help me personally because I am not a tech wiz in any way, would be an easy to use platform for creating a good podcast. </t>
  </si>
  <si>
    <t xml:space="preserve">I honestly like using case studies, but I am more of a listener than a speaker so it is easier for me to understand by listening to the overall study and implication of such. </t>
  </si>
  <si>
    <t xml:space="preserve">While I am not confident in a business style case presentation, I know I can present to groups well and so I think that watching and learning business-style would be great. </t>
  </si>
  <si>
    <t xml:space="preserve">I am super excited for this portion but also very nervous as well. I think that the instructor being the initiator may be most helpful and then just always there in need of guidance at any point in time. </t>
  </si>
  <si>
    <t xml:space="preserve">I tend to dislike group projects because I have certain standards and often they are not met unless I do it all which is typically what happens in group projects here at CSU. </t>
  </si>
  <si>
    <t xml:space="preserve">I again do not appreciate group projects because most of the work falls on me to do. </t>
  </si>
  <si>
    <t xml:space="preserve">I am excited to make connections and while I will probably be jealous of the attention being used to help others I also think that for this particular portion it is up to the student how much you receive from the mentor. </t>
  </si>
  <si>
    <t>learning about the process in class before recording the podcast</t>
  </si>
  <si>
    <t xml:space="preserve">understanding the material </t>
  </si>
  <si>
    <t>having a discussion guide</t>
  </si>
  <si>
    <t xml:space="preserve">I feel like having a podcast with other classmates will give the confidence to speak regarding any subject, especially if its a classmate I am familiar with </t>
  </si>
  <si>
    <t>A tutorial on a certain platform to use for podcasts and edit clips. Also an example of what it should look like.</t>
  </si>
  <si>
    <t xml:space="preserve">My grade not being affected by the newness of the formatting and any errors that may come in along the way. </t>
  </si>
  <si>
    <t xml:space="preserve">Examples and ample open time for teachers and mentors to assist. </t>
  </si>
  <si>
    <t xml:space="preserve">Having more detailed information about each mentor and teachers having a space where students can check in anonymously or non anonymously about how it is going with their mentor every week or so. </t>
  </si>
  <si>
    <t xml:space="preserve">Groups are very difficult to work in when we all come into something new with different expectations on how it should be completed. </t>
  </si>
  <si>
    <t xml:space="preserve">In a group with a competition at stake, students have different prioritization levels with respect to how much time they want to invest in the competition, so it leaves people unsatisfied. </t>
  </si>
  <si>
    <t xml:space="preserve">I feel good to have someone guiding us in this project, but also worried about how different mentors differ in how much they are capable of helping. </t>
  </si>
  <si>
    <t>One thing that would definitely help me feel more confident in developing a podcast is having notes, scripts, or talking points. This way I would feel more confident and would not feel lost while recording.</t>
  </si>
  <si>
    <t>Having a clear structure or step-by-step format to follow</t>
  </si>
  <si>
    <t>Being well-prepared with a clear structure and practice</t>
  </si>
  <si>
    <t>Yes, these examples would definitely help me feel more confident</t>
  </si>
  <si>
    <t>Working in a group is super important for me because team working helps me to discuss a topic with my team, which means I will have not just few ideas but more. Also, working in a team helps me to feel more confident while doing some research and stuff like that.</t>
  </si>
  <si>
    <t>maybe us going through what exactly we need to do with a solid example.</t>
  </si>
  <si>
    <t xml:space="preserve">nothing really, I already feel supported by the first assignment </t>
  </si>
  <si>
    <t xml:space="preserve">just good examples of what it should look like. </t>
  </si>
  <si>
    <t>I think just the person being personable, which isn't really up to the teacher.</t>
  </si>
  <si>
    <t xml:space="preserve">I think things are less overwhelming when in a group. I also enjoy the idea of getting to know my classmates more in a group setting. </t>
  </si>
  <si>
    <t xml:space="preserve">Just a repeat of the last one, it makes the assignment less overwhelming while also enjoyable getting to share that experince with others. </t>
  </si>
  <si>
    <t xml:space="preserve">Ditto to the last response for this question. </t>
  </si>
  <si>
    <t>Podcast examples as well as an outline in creating a successful podcast</t>
  </si>
  <si>
    <t>Breakdown of cases before discussions</t>
  </si>
  <si>
    <t>Having information I can read about each mentor before meeting</t>
  </si>
  <si>
    <t>I tend to be more successful when collaborating with others</t>
  </si>
  <si>
    <t>I believe that it will be fully dependent on who is in my group and their ability to have a freely flowing conversation.</t>
  </si>
  <si>
    <t>I feel comfortable using this, I just have yet to look at case studies in a class.</t>
  </si>
  <si>
    <t>Seeing examples is very helpful when it comes to business presentations.</t>
  </si>
  <si>
    <t>All of the listed examples would be great resources.</t>
  </si>
  <si>
    <t>This can be good or bad, dependent on the work ethic and quality of group members.</t>
  </si>
  <si>
    <t>I hope that my group shares similar views and values, because I am very interested in doing well.</t>
  </si>
  <si>
    <t>I feel like it would be a little scary just working one-on-one with a mentor for the first time.</t>
  </si>
  <si>
    <t xml:space="preserve">Clarification, such as what exactly to expect on this project. </t>
  </si>
  <si>
    <t>Taking them slow until I and peers understand the material.</t>
  </si>
  <si>
    <t>Open-lined communication with teachers, mentors, and peers.</t>
  </si>
  <si>
    <t>I think a set-up first meeting would be a great way to meet our mentors.</t>
  </si>
  <si>
    <t>Working in a good group of peers that all pitch in is always a fun and makes the project feel, "less big".</t>
  </si>
  <si>
    <t>Working in a group is always a great way to feel less stressed and equally divide the load.</t>
  </si>
  <si>
    <t>Mentors are intended to give us direction and heading. I think these mentors will help this class succeed this semester by working with us.</t>
  </si>
  <si>
    <t>Doing it with someone who knows what they are doing</t>
  </si>
  <si>
    <t>Practice</t>
  </si>
  <si>
    <t>Good business idea</t>
  </si>
  <si>
    <t xml:space="preserve">Getting to know the mentor and vice versa </t>
  </si>
  <si>
    <t>Things are always easier to get done when you have ideas to bounce off each other.</t>
  </si>
  <si>
    <t>The more people in the group the better</t>
  </si>
  <si>
    <t>Having a mentor always helps guide the process</t>
  </si>
  <si>
    <t xml:space="preserve">Ensuring that my group is going to show up for me and this podcast, as well as having time cut out to create this podcast. I feel having class time to create/edit this podcast would feel really helpful to me. </t>
  </si>
  <si>
    <t xml:space="preserve">I appreciate that we are working through one case study together so I can understand what our expectations are for analysis. For sharing in class I feel having the class size we do makes the environment a lot more comfortable. </t>
  </si>
  <si>
    <t xml:space="preserve">I feel having a good outline for what the presentation should be like so I can practice what I am going to say or how I am going to lay out my information. I think that working through a problem with the mentor will be nice because I feel most confident when I am validated my ideas are correct or on the mark for what I am supposed to be doing. </t>
  </si>
  <si>
    <t xml:space="preserve">Having information I can read before meeting my mentor would be nice, as well as just some additional class time to get to know them before we jump into the project. I feel creating that comfort with the mentor in more of a real way will be helpful in socializing with them. </t>
  </si>
  <si>
    <t xml:space="preserve">I want to almost say I would feel negative about the activity, however, it depends on my group. If I get commited fun people who want to show up, participate, speak up during the podcast it will be great. That said, in college I feel some classmates can be unreliable during group projects or just more difficult to work with, if an awkward environment is created I feel more likely to be in my shell about things. </t>
  </si>
  <si>
    <t xml:space="preserve">I am excited for this project in the class! It will be a good way to end the semester and sum up everything we have learned. I think this competition will be fun, and I like the idea of having a prize incentive for doing good. </t>
  </si>
  <si>
    <t xml:space="preserve">I feel it will be nice to talk to others about the mentor, and kind of confirm notes in that way. I am really excited to meet a mentor and hopefully gain some good connections/insight through them. </t>
  </si>
  <si>
    <t>Confidence in myself and my peers</t>
  </si>
  <si>
    <t>pre-case study run down</t>
  </si>
  <si>
    <t>`spending time to create a quality business model</t>
  </si>
  <si>
    <t xml:space="preserve">finding the right mentor </t>
  </si>
  <si>
    <t xml:space="preserve">i feel like it will be exiting to do something new but it may come with nerves make me feel slightly unconfident </t>
  </si>
  <si>
    <t xml:space="preserve">im confident but nervous </t>
  </si>
  <si>
    <t xml:space="preserve">i definitely feel anxious but exited in this opportunity </t>
  </si>
  <si>
    <t>One thing that would help me feel more confident about a podcast this semester would be having the right equipment for the podcast.</t>
  </si>
  <si>
    <t>One thing that would help me feel more confident in the case study is smaller groups so that I don't stress about saying the wrong thing.</t>
  </si>
  <si>
    <t>One thing that would help me feel more confident for presenting a business case would be a mic because I speak pretty low.</t>
  </si>
  <si>
    <t>One thing that would help me feel more supported when working with a mentor would be 1 on 1 zoom or in person meetings with the mentor.</t>
  </si>
  <si>
    <t>I wouldn't want my lack of intellegence to be the reason why my group fails the project.</t>
  </si>
  <si>
    <t>I would not want my lack of intellegence to be the reason why my group fails the competition espeaically because I hate losing.</t>
  </si>
  <si>
    <t>The mentor will know what to do and how to guide us giving me more confidence because I would be working with a expert.</t>
  </si>
  <si>
    <t xml:space="preserve">Having good talking points </t>
  </si>
  <si>
    <t>Starting One</t>
  </si>
  <si>
    <t>Doing more presenting</t>
  </si>
  <si>
    <t>Getting to meet with them</t>
  </si>
  <si>
    <t>Its easier to talk to a group rather than by myself</t>
  </si>
  <si>
    <t>Its less pressure when working with a group and groups are good for bouncing ideas off of each other</t>
  </si>
  <si>
    <t>Im sure it will be good either way</t>
  </si>
  <si>
    <t xml:space="preserve">How to edit and the steps in which a podcast is organized is beneficial. </t>
  </si>
  <si>
    <t>Learning how to analyze a case study and what we are expected to discuss in our groups. Any skills needed in how we share our views to others.</t>
  </si>
  <si>
    <t>More practice on how to present a business since I have no experience in how to pitch in an idea.</t>
  </si>
  <si>
    <t xml:space="preserve">Getting an email of an introduction and an readings that would help guide me to any background information. Also, having notes or guides on details or goals of each meeting and overall the semester. </t>
  </si>
  <si>
    <t xml:space="preserve">I feel that talking alone makes me more nervous so knowing that I would be able to do it with others is more calming. </t>
  </si>
  <si>
    <t>I feel that everyone is able to communicate and allows me to be more calm to present as others in my group will be there to support eachother.</t>
  </si>
  <si>
    <t>Being able to communicate as a group or share ideas with others with the same mentor sounds interesting.</t>
  </si>
  <si>
    <t>One thing that would be helpful is organizing more pre-podcast things to increase confident during real podcast.</t>
  </si>
  <si>
    <t>I have done several assignments with a group in the past. So, I think I can work with my groupmates in this podcast assignments as well.</t>
  </si>
  <si>
    <t>Learning how they’re produced</t>
  </si>
  <si>
    <t xml:space="preserve">Not being graded on participation
</t>
  </si>
  <si>
    <t>Time in class to build our case with a professors help.</t>
  </si>
  <si>
    <t>Making sure we have time to actually get to know them</t>
  </si>
  <si>
    <t>I think a one person podcast would be kind of weird to make, it feels more natural with multiple people</t>
  </si>
  <si>
    <t>It is nice to be able to have people that you can bounce your ideas off of.</t>
  </si>
  <si>
    <t>I’m excited to work with someone who knows their field very well and can provide insight for case studies.</t>
  </si>
  <si>
    <t>Walkthrough of where to get materials, and how to edit</t>
  </si>
  <si>
    <t>None!</t>
  </si>
  <si>
    <t>All of the above suggestions are great!</t>
  </si>
  <si>
    <t>I’m not very interesting to hear on a microphone lol. But sounds fun!</t>
  </si>
  <si>
    <t>Depends on the group of people I get!</t>
  </si>
  <si>
    <t>I’m excited for the mentor program!</t>
  </si>
  <si>
    <t>How to edit or film them</t>
  </si>
  <si>
    <t>Working in a group takes some of the nerves away</t>
  </si>
  <si>
    <t>Proffesional guidance will help me feel more confident about the work I present.</t>
  </si>
  <si>
    <t>will be more fun and take a burden off the individuals shoulders</t>
  </si>
  <si>
    <t>A group is almost always better</t>
  </si>
  <si>
    <t>The instructer making sure to give clear instructions/steps for how to go about the podcast</t>
  </si>
  <si>
    <t xml:space="preserve">Clear instructions and easily accessible help and/or resources </t>
  </si>
  <si>
    <t>Examples</t>
  </si>
  <si>
    <t>Having the professor send an email introducing me with my mentor</t>
  </si>
  <si>
    <t>I do better when I get to work on assignments/projects alone. Anxiety gets in the way of being productive/willing to participate in small groups</t>
  </si>
  <si>
    <t>Anxiety within group projects</t>
  </si>
  <si>
    <t>Anxiety within small groups. Having a mentor I am hoping will help that</t>
  </si>
  <si>
    <t>I don’t usually listen podcast that is why I am not sure what to say for this question)))</t>
  </si>
  <si>
    <t xml:space="preserve">It helps to be more confident </t>
  </si>
  <si>
    <t>I don’t know</t>
  </si>
  <si>
    <t xml:space="preserve">In class activities </t>
  </si>
  <si>
    <t>Not sure</t>
  </si>
  <si>
    <t>getting help</t>
  </si>
  <si>
    <t xml:space="preserve">getting emails, in person meetings and a guide </t>
  </si>
  <si>
    <t xml:space="preserve">I would feel comfortable and not overwhelmed collaborating with other people </t>
  </si>
  <si>
    <t xml:space="preserve">I would feel comfortable and not overwhelmed being able to work with other people and share ideas </t>
  </si>
  <si>
    <t xml:space="preserve">I think it would be more positive because I can relate to them more </t>
  </si>
  <si>
    <t>clear expectations and how to properly create a podcast</t>
  </si>
  <si>
    <t>small groups</t>
  </si>
  <si>
    <t>having support and a clear line of communication</t>
  </si>
  <si>
    <t>taking time to get to know them on a personal level</t>
  </si>
  <si>
    <t>I think that having a group allows for better workload management and performance</t>
  </si>
  <si>
    <t>I think that having a group will help with possible issues that might arise such as absence or potential stage fright</t>
  </si>
  <si>
    <t>I think it will help with the quality of the project.</t>
  </si>
  <si>
    <t>Editing tutorials or tools that help with the creation process</t>
  </si>
  <si>
    <t>A bit of grace with the first couple case studies would make me feel more supported as I have never done anything like this before and it seems like a learning process</t>
  </si>
  <si>
    <t xml:space="preserve">Support tools that teach you effective strategies to market and implement your idea </t>
  </si>
  <si>
    <t xml:space="preserve">Having more information besides a brief bio would be very much appreciated </t>
  </si>
  <si>
    <t xml:space="preserve">I think podcasts are more collabrative than individual. Slpitting up the workload for the podcast will make things go smoother and more efficient </t>
  </si>
  <si>
    <t>Building a case with a group seems like it'll be a very real and rewarding expierience. I can see myself doing something similar in the workplace</t>
  </si>
  <si>
    <t>Having a mentor working through this course with me is very exciting to me and I cannot wait to see who I am assigned to</t>
  </si>
  <si>
    <t>Being confident with the recording and uploading of the podcast.</t>
  </si>
  <si>
    <t>Being exposed to it.</t>
  </si>
  <si>
    <t>Doing it more in a low stakes environment.</t>
  </si>
  <si>
    <t>I think it would help to meet my mentor multiple times so that I feel comfortable with my mentor.</t>
  </si>
  <si>
    <t>I think it might be more fun in a group. It will also allow for a few minds to work together and get different perspectives.</t>
  </si>
  <si>
    <t>I think it will help by allowing everyone in the group to work together.</t>
  </si>
  <si>
    <t xml:space="preserve">I think it will be nice to have someone who knows more about entrepreneurship then us. </t>
  </si>
  <si>
    <t>Q7_PodCreateFreq</t>
  </si>
  <si>
    <t>Q8_PodFamiliarity</t>
  </si>
  <si>
    <t>Q9_PodListenFreq</t>
  </si>
  <si>
    <t>Q10_AudioApps</t>
  </si>
  <si>
    <t>Q10_SocialClips</t>
  </si>
  <si>
    <t>Q10_DontListen</t>
  </si>
  <si>
    <t>Q10_Other</t>
  </si>
  <si>
    <t>Q13_CSUseFreq</t>
  </si>
  <si>
    <t>Q14_ClassSpeakFreq</t>
  </si>
  <si>
    <t>Q19_BizCompFreq</t>
  </si>
  <si>
    <t>Q20_PresentFreq</t>
  </si>
  <si>
    <t>Q23_MentorMatched</t>
  </si>
  <si>
    <t>Q24_SeekProfAdvice</t>
  </si>
  <si>
    <t>Q28_1_Pod_Excited</t>
  </si>
  <si>
    <t>Q28_2_Pod_Nervous</t>
  </si>
  <si>
    <t>Q28_3_Pod_Bored</t>
  </si>
  <si>
    <t>Q28_4_Pod_Calm</t>
  </si>
  <si>
    <t>Q28_5_Pod_Enthused</t>
  </si>
  <si>
    <t>Q28_6_Pod_Anxious</t>
  </si>
  <si>
    <t>Q28_7_Pod_Dull</t>
  </si>
  <si>
    <t>Q28_8_Pod_Relaxed</t>
  </si>
  <si>
    <t>Q28_9_Pod_Elated</t>
  </si>
  <si>
    <t>Q28_10_Pod_Overwhelmed</t>
  </si>
  <si>
    <t>Q28_11_Pod_Disinterest</t>
  </si>
  <si>
    <t>Q28_12_Pod_Content</t>
  </si>
  <si>
    <t>Q29_PodGroupEffect</t>
  </si>
  <si>
    <t>Q31_1_CS_Excited</t>
  </si>
  <si>
    <t>Q31_2_CS_Nervous</t>
  </si>
  <si>
    <t>Q31_3_CS_Bored</t>
  </si>
  <si>
    <t>Q31_4_CS_Calm</t>
  </si>
  <si>
    <t>Q31_5_CS_Enthused</t>
  </si>
  <si>
    <t>Q31_6_CS_Anxious</t>
  </si>
  <si>
    <t>Q31_7_CS_Dull</t>
  </si>
  <si>
    <t>Q31_8_CS_Relaxed</t>
  </si>
  <si>
    <t>Q31_9_CS_Elated</t>
  </si>
  <si>
    <t>Q31_10_CS_Overwhelmed</t>
  </si>
  <si>
    <t>Q31_11_CS_Disinterest</t>
  </si>
  <si>
    <t>Q31_12_CS_Content</t>
  </si>
  <si>
    <t>Q32_1_Biz_Excited</t>
  </si>
  <si>
    <t>Q32_2_Biz_Nervous</t>
  </si>
  <si>
    <t>Q32_3_Biz_Bored</t>
  </si>
  <si>
    <t>Q32_4_Biz_Calm</t>
  </si>
  <si>
    <t>Q32_5_Biz_Enthused</t>
  </si>
  <si>
    <t>Q32_6_Biz_Anxious</t>
  </si>
  <si>
    <t>Q32_7_Biz_Dull</t>
  </si>
  <si>
    <t>Q32_8_Biz_Relaxed</t>
  </si>
  <si>
    <t>Q32_9_Biz_Elated</t>
  </si>
  <si>
    <t>Q32_10_Biz_Overwhelmed</t>
  </si>
  <si>
    <t>Q32_11_Biz_Disinterest</t>
  </si>
  <si>
    <t>Q32_12_Biz_Content</t>
  </si>
  <si>
    <t>Q33_BizGroupEffect</t>
  </si>
  <si>
    <t>Q37_1_Ment_Excited</t>
  </si>
  <si>
    <t>Q37_2_Ment_Nervous</t>
  </si>
  <si>
    <t>Q37_3_Ment_Bored</t>
  </si>
  <si>
    <t>Q37_4_Ment_Calm</t>
  </si>
  <si>
    <t>Q37_5_Ment_Enthused</t>
  </si>
  <si>
    <t>Q37_6_Ment_Anxious</t>
  </si>
  <si>
    <t>Q37_7_Ment_Dull</t>
  </si>
  <si>
    <t>Q37_8_Ment_Relaxed</t>
  </si>
  <si>
    <t>Q37_9_Ment_Elated</t>
  </si>
  <si>
    <t>Q37_10_Ment_Overwhelmed</t>
  </si>
  <si>
    <t>Q37_11_Ment_Disinterest</t>
  </si>
  <si>
    <t>Q37_12_Ment_Content</t>
  </si>
  <si>
    <t>Q36_MentGroupEffect</t>
  </si>
  <si>
    <t>Q38_1_Contrib_Podcast</t>
  </si>
  <si>
    <t>Q38_2_Contrib_CaseStudy</t>
  </si>
  <si>
    <t>Q38_3_Contrib_BizCase</t>
  </si>
  <si>
    <t>Q38_4_Contrib_Mentor</t>
  </si>
  <si>
    <t>Q38_5_Contrib_Coursework</t>
  </si>
  <si>
    <t>Q38_6_Contrib_Learn</t>
  </si>
  <si>
    <t>Q39_1_Think_PodcastCrit</t>
  </si>
  <si>
    <t>Q39_2_Think_CaseStudySides</t>
  </si>
  <si>
    <t>Q39_3_Think_BizRealWorld</t>
  </si>
  <si>
    <t>Q39_4_Think_MentorFeedback</t>
  </si>
  <si>
    <t>Q39_5_Think_ApplyDecisions</t>
  </si>
  <si>
    <t>Q39_6_Think_AnalyzeAgBiz</t>
  </si>
  <si>
    <t>Q40_1_Belong_Dept</t>
  </si>
  <si>
    <t>Q40_2_Relations_Class</t>
  </si>
  <si>
    <t>Q40_3_TimeMgmt</t>
  </si>
  <si>
    <t>Q40_4_ClassParticipate</t>
  </si>
  <si>
    <t>Q40_5_SelfEfficacy</t>
  </si>
  <si>
    <t>Q40_6_HandleChallenge</t>
  </si>
  <si>
    <t>Q40_7_GrowthMindset</t>
  </si>
  <si>
    <t>Q40_8_CapableUnderstanding</t>
  </si>
  <si>
    <t>Q40_9_EntreDailyLife</t>
  </si>
  <si>
    <t>Q40_10_EntreInterest</t>
  </si>
  <si>
    <t>Q40_11_CourseHelpsFuture</t>
  </si>
  <si>
    <t>Q40_12_GoalCompletion</t>
  </si>
  <si>
    <t>Q40_13_OvercameSetbacks</t>
  </si>
  <si>
    <t>Q44_Def_Market</t>
  </si>
  <si>
    <t>Q45_SmallOrg_3rdAdv</t>
  </si>
  <si>
    <t>Q46_CoFounder_Issues</t>
  </si>
  <si>
    <t>Q47_LearningProcess_Name</t>
  </si>
  <si>
    <t>Q48_BizPlan_PotentialBlank</t>
  </si>
  <si>
    <t>Q49_SWOT_Def</t>
  </si>
  <si>
    <t>Q50_Venture_Reqs</t>
  </si>
  <si>
    <t>Q51_MktResearch_Purpose</t>
  </si>
  <si>
    <t>Q52_VC_Measures</t>
  </si>
  <si>
    <t>Q53_NoResearch_Reasons</t>
  </si>
  <si>
    <t>Q54_ReviewPlans_Benefit</t>
  </si>
  <si>
    <t>Q42_Performance_Relative</t>
  </si>
  <si>
    <t>Q43_SelfView</t>
  </si>
  <si>
    <t xml:space="preserve">code </t>
  </si>
  <si>
    <t>Question # and coded variable description</t>
  </si>
  <si>
    <t xml:space="preserve">question &amp; answer Measurement type </t>
  </si>
  <si>
    <t>Notes</t>
  </si>
  <si>
    <t>Q7, Q9 , Q13, Q24</t>
  </si>
  <si>
    <t xml:space="preserve">No response </t>
  </si>
  <si>
    <t>Not at all</t>
  </si>
  <si>
    <t>Slightly</t>
  </si>
  <si>
    <t>moderately</t>
  </si>
  <si>
    <t xml:space="preserve">Quite a bit </t>
  </si>
  <si>
    <t>Extremely</t>
  </si>
  <si>
    <t>Likert/ ordinal categorical</t>
  </si>
  <si>
    <t xml:space="preserve">no response </t>
  </si>
  <si>
    <t>never</t>
  </si>
  <si>
    <t>rarely</t>
  </si>
  <si>
    <t xml:space="preserve">sometimes </t>
  </si>
  <si>
    <t>often</t>
  </si>
  <si>
    <t>very often</t>
  </si>
  <si>
    <t>Q8</t>
  </si>
  <si>
    <t xml:space="preserve">Not familiar at all  (1) </t>
  </si>
  <si>
    <t xml:space="preserve">Slightly familiar  (2) </t>
  </si>
  <si>
    <t xml:space="preserve">Moderately familiar  (3) </t>
  </si>
  <si>
    <t xml:space="preserve">Very familiar  (4) </t>
  </si>
  <si>
    <t xml:space="preserve">Extremely familiar  (5) </t>
  </si>
  <si>
    <t>Q10</t>
  </si>
  <si>
    <t>multiple selection/ binary, nominal categorical</t>
  </si>
  <si>
    <t>Dummy coded (0,1) each possible answer (multiple answer option, then we can analyze each option independently)</t>
  </si>
  <si>
    <t>0, 1</t>
  </si>
  <si>
    <t xml:space="preserve">Audio-only apps (e.g., Spotify, Apple Podcasts, Overcast)  </t>
  </si>
  <si>
    <t xml:space="preserve">0,1 </t>
  </si>
  <si>
    <t xml:space="preserve">Video platforms (e.g., YouTube, Vimeo)  </t>
  </si>
  <si>
    <t xml:space="preserve">Social media clips (e.g., Instagram Reels, TikTok, X/Twitter)  </t>
  </si>
  <si>
    <t xml:space="preserve">I don’t usually listen to or watch podcasts  </t>
  </si>
  <si>
    <t xml:space="preserve">0, 1 </t>
  </si>
  <si>
    <t xml:space="preserve">Other (please specify)  </t>
  </si>
  <si>
    <t>Q23</t>
  </si>
  <si>
    <t>single select/ nominal categorical</t>
  </si>
  <si>
    <t xml:space="preserve">Yes  (1) </t>
  </si>
  <si>
    <t xml:space="preserve">No  (2) </t>
  </si>
  <si>
    <t xml:space="preserve">Unsure  (3) </t>
  </si>
  <si>
    <t>Q 28, Q31, Q37</t>
  </si>
  <si>
    <t>likert/ ordinal categorical</t>
  </si>
  <si>
    <t>not at all</t>
  </si>
  <si>
    <t>slightly</t>
  </si>
  <si>
    <t xml:space="preserve">quite a bit </t>
  </si>
  <si>
    <t>extremely</t>
  </si>
  <si>
    <t>Q29, Q33</t>
  </si>
  <si>
    <t>single select nominal / nominal categorical</t>
  </si>
  <si>
    <t xml:space="preserve">changed order so that more positive is a higher score and more negative is a lower score so that is consistent- could be considered to be somewhat ordinal?? </t>
  </si>
  <si>
    <t>I would feel more negative about the activity</t>
  </si>
  <si>
    <t xml:space="preserve">I wouldn't change how I feel </t>
  </si>
  <si>
    <t xml:space="preserve">I would feel more positive about the activity </t>
  </si>
  <si>
    <t xml:space="preserve">I'm not sure </t>
  </si>
  <si>
    <t>Q38, Q39, Q40</t>
  </si>
  <si>
    <t>likert, ordinal categorical</t>
  </si>
  <si>
    <t>strongly disagree</t>
  </si>
  <si>
    <t>disagree</t>
  </si>
  <si>
    <t>neither agree nor disagree</t>
  </si>
  <si>
    <t>agree</t>
  </si>
  <si>
    <t>strongly agree</t>
  </si>
  <si>
    <t>Q42</t>
  </si>
  <si>
    <t>bottom 50%</t>
  </si>
  <si>
    <t xml:space="preserve">Top 50% </t>
  </si>
  <si>
    <t>top 25%</t>
  </si>
  <si>
    <t>top 10%</t>
  </si>
  <si>
    <t>Im not sure</t>
  </si>
  <si>
    <t>Q43</t>
  </si>
  <si>
    <t xml:space="preserve">Extremely reserved/introverted  (1) </t>
  </si>
  <si>
    <t xml:space="preserve">Moderately reserved/introverted  (2) </t>
  </si>
  <si>
    <t xml:space="preserve">Slightly reserved/introverted  (3) </t>
  </si>
  <si>
    <t xml:space="preserve">Neutral  (4) </t>
  </si>
  <si>
    <t xml:space="preserve">Slightly outgoing/extraverted  (5) </t>
  </si>
  <si>
    <t xml:space="preserve">Moderately outgoing/extraverted  (6) </t>
  </si>
  <si>
    <t xml:space="preserve">Extremely outgoing/extraverted  (7) </t>
  </si>
  <si>
    <t>Q44</t>
  </si>
  <si>
    <t>multiple choice, nominal categorical</t>
  </si>
  <si>
    <t xml:space="preserve">dichotomous coding (0,1) correct and incorrect answers </t>
  </si>
  <si>
    <t>group of consumers (potential customers) who have purchasing power and unsatisfied needs.</t>
  </si>
  <si>
    <t>way of gaining consumer data.</t>
  </si>
  <si>
    <t>segment of the economy. </t>
  </si>
  <si>
    <t>group of known purchasers.</t>
  </si>
  <si>
    <t>Q45</t>
  </si>
  <si>
    <t>clearer marketing message</t>
  </si>
  <si>
    <t xml:space="preserve">closer relationship to the entrepreneur’s vision   </t>
  </si>
  <si>
    <t>quick reaction to changes in technology</t>
  </si>
  <si>
    <t>closeness to the customer</t>
  </si>
  <si>
    <t>Q46</t>
  </si>
  <si>
    <t>Cash</t>
  </si>
  <si>
    <t>Value</t>
  </si>
  <si>
    <t>Stock </t>
  </si>
  <si>
    <t>Equity</t>
  </si>
  <si>
    <t>Q47</t>
  </si>
  <si>
    <t>Concept</t>
  </si>
  <si>
    <t>Research</t>
  </si>
  <si>
    <t xml:space="preserve">Design  </t>
  </si>
  <si>
    <t>Phototyping</t>
  </si>
  <si>
    <t>Q48</t>
  </si>
  <si>
    <t xml:space="preserve">profit strategies  </t>
  </si>
  <si>
    <t xml:space="preserve">benchmarking measures for comparing forecasts with actual results  </t>
  </si>
  <si>
    <t>critical risks and crucial events </t>
  </si>
  <si>
    <t>sources of financing </t>
  </si>
  <si>
    <t>Q49</t>
  </si>
  <si>
    <t>strengths, weaknesses, opportunities, and threats.</t>
  </si>
  <si>
    <t>suppliers, workers, opportunities, and tactics. </t>
  </si>
  <si>
    <t xml:space="preserve">strengths, warnings, options, and threats.  </t>
  </si>
  <si>
    <t>scarcity, weaknesses, opportunities, and tactic.   </t>
  </si>
  <si>
    <t>Q50</t>
  </si>
  <si>
    <t xml:space="preserve">technical  </t>
  </si>
  <si>
    <t>customer</t>
  </si>
  <si>
    <t>financial </t>
  </si>
  <si>
    <t>marketing   </t>
  </si>
  <si>
    <t>Q51</t>
  </si>
  <si>
    <t>gain customers. </t>
  </si>
  <si>
    <t xml:space="preserve">identify customers (target market).  </t>
  </si>
  <si>
    <t xml:space="preserve">fulfill customer needs.  </t>
  </si>
  <si>
    <t xml:space="preserve">develop new products.  </t>
  </si>
  <si>
    <t>Q52</t>
  </si>
  <si>
    <t>legal issues </t>
  </si>
  <si>
    <t xml:space="preserve">management  </t>
  </si>
  <si>
    <t>cash flow</t>
  </si>
  <si>
    <t>security</t>
  </si>
  <si>
    <t>Q53</t>
  </si>
  <si>
    <t>benefits</t>
  </si>
  <si>
    <t>revenue</t>
  </si>
  <si>
    <t>costs and complexities</t>
  </si>
  <si>
    <t>simplicities</t>
  </si>
  <si>
    <t>Q54</t>
  </si>
  <si>
    <t>volume  </t>
  </si>
  <si>
    <t>appearance </t>
  </si>
  <si>
    <t>topics </t>
  </si>
  <si>
    <t>marketing plan </t>
  </si>
  <si>
    <t>Q10_PodAccess</t>
  </si>
  <si>
    <t>Yes</t>
  </si>
  <si>
    <t>Strongly disagree</t>
  </si>
  <si>
    <t>Disagree</t>
  </si>
  <si>
    <t>Neither agree nor disagree</t>
  </si>
  <si>
    <t>Agree</t>
  </si>
  <si>
    <t>Top 25%</t>
  </si>
  <si>
    <t>Strongly agree</t>
  </si>
  <si>
    <t>Top 50%</t>
  </si>
  <si>
    <t>Top 10%</t>
  </si>
  <si>
    <t>Bottom 50%</t>
  </si>
  <si>
    <t>Q6, Q8, Q10</t>
  </si>
  <si>
    <t>nominal categorical</t>
  </si>
  <si>
    <t>Calculated risk taking</t>
  </si>
  <si>
    <t>Communication</t>
  </si>
  <si>
    <t>Creativity and Innovativeness</t>
  </si>
  <si>
    <t>Determination and Perseverance</t>
  </si>
  <si>
    <t>Drive to achieve</t>
  </si>
  <si>
    <t>Opportunity Orientation</t>
  </si>
  <si>
    <t>Passion</t>
  </si>
  <si>
    <t>Team Building</t>
  </si>
  <si>
    <t xml:space="preserve">Tolerance for Ambiguity </t>
  </si>
  <si>
    <t>Vision</t>
  </si>
  <si>
    <t>seeking feedback</t>
  </si>
  <si>
    <t>personal agency</t>
  </si>
  <si>
    <t xml:space="preserve">entrepreneurial hustle </t>
  </si>
  <si>
    <t>high energy level</t>
  </si>
  <si>
    <t xml:space="preserve">sub questions for 6, 8,10 </t>
  </si>
  <si>
    <t>Somewhat disagree</t>
  </si>
  <si>
    <t>somewhat agree</t>
  </si>
  <si>
    <t>Q6_characteristic1_selection</t>
  </si>
  <si>
    <t>Q7_1_characteristic1_confidence</t>
  </si>
  <si>
    <t>Q7_2_characteristic1_application</t>
  </si>
  <si>
    <t>Q7_3_characteristic1_strength</t>
  </si>
  <si>
    <t>Q7_4_characteristic1_alignment</t>
  </si>
  <si>
    <t>Q7_5_characteristic1_motivation</t>
  </si>
  <si>
    <t>Q8_characteristic2_selection</t>
  </si>
  <si>
    <t>Q9_1_characteristic2_confidence</t>
  </si>
  <si>
    <t>Q9_2_characteristic2_application</t>
  </si>
  <si>
    <t>Q9_3_characteristic2_strength</t>
  </si>
  <si>
    <t>Q9_4_characteristic2_alignment</t>
  </si>
  <si>
    <t>Q9_5_characteristic2_motivation</t>
  </si>
  <si>
    <t>Q10_characteristic3_selection</t>
  </si>
  <si>
    <t>Q11_1_characteristic3_confidence</t>
  </si>
  <si>
    <t>Q11_2_characteristic3_application</t>
  </si>
  <si>
    <t>Q11_3_characteristic3_strength</t>
  </si>
  <si>
    <t>Q11_4_characteristic3_alignment</t>
  </si>
  <si>
    <t>Q11_5_characteristic3_motivation</t>
  </si>
  <si>
    <t xml:space="preserve">Im not sure </t>
  </si>
  <si>
    <t>No response</t>
  </si>
  <si>
    <t>Q37</t>
  </si>
  <si>
    <t xml:space="preserve">least learned </t>
  </si>
  <si>
    <t xml:space="preserve">third most learned </t>
  </si>
  <si>
    <t xml:space="preserve">second most learned </t>
  </si>
  <si>
    <t xml:space="preserve">most learned </t>
  </si>
  <si>
    <t xml:space="preserve">ranking question, where _1 indicates the most learned and _4 indicates the least learned </t>
  </si>
  <si>
    <t>Q29_4 (mentorship)</t>
  </si>
  <si>
    <t>Q29_3 (presentation)</t>
  </si>
  <si>
    <t>Q29_2 (cased based analysis)</t>
  </si>
  <si>
    <t>Q29_1 (podcasting)</t>
  </si>
  <si>
    <t xml:space="preserve">least engaging </t>
  </si>
  <si>
    <t xml:space="preserve">third most engaging </t>
  </si>
  <si>
    <t xml:space="preserve">second most engaging </t>
  </si>
  <si>
    <t>Most engaging</t>
  </si>
  <si>
    <t xml:space="preserve">ranking question where _1 indicates the most engaging to _4 indicates the least engaging </t>
  </si>
  <si>
    <t>Q26_4 (mentorship)</t>
  </si>
  <si>
    <t>Q26_3 (presentation)</t>
  </si>
  <si>
    <t>Q26_2 (case based analysis)</t>
  </si>
  <si>
    <t>Q26_1 (podcasting)</t>
  </si>
  <si>
    <t xml:space="preserve">Strongly satisfied </t>
  </si>
  <si>
    <t xml:space="preserve">satisfied </t>
  </si>
  <si>
    <t xml:space="preserve">Neither satisfied nor dissatisfied </t>
  </si>
  <si>
    <t xml:space="preserve">Dissatisfied </t>
  </si>
  <si>
    <t>Strongly dissatisfied</t>
  </si>
  <si>
    <t>Q25</t>
  </si>
  <si>
    <t>Q24</t>
  </si>
  <si>
    <t>Q22</t>
  </si>
  <si>
    <t>Q21</t>
  </si>
  <si>
    <t>Q20</t>
  </si>
  <si>
    <t>Q19</t>
  </si>
  <si>
    <t>Q18</t>
  </si>
  <si>
    <t>Q17</t>
  </si>
  <si>
    <t>Q16</t>
  </si>
  <si>
    <t>Q15</t>
  </si>
  <si>
    <t>Q14</t>
  </si>
  <si>
    <t>Q10, Q11, Q12</t>
  </si>
  <si>
    <t>Q6, Q7, Q8, Q9</t>
  </si>
  <si>
    <t>Variables differe from pre to post</t>
  </si>
  <si>
    <t>Note</t>
  </si>
  <si>
    <t>NA</t>
  </si>
  <si>
    <t>The feedback was helpful. I think it was a good way to point out some of my strengths, I wish there was more feedback on what I could improve on.</t>
  </si>
  <si>
    <t>No suggestions.</t>
  </si>
  <si>
    <t>I feel like I would have done better because I wouldn’t have to rely on other people.</t>
  </si>
  <si>
    <t>Working in a group is difficult at times but overall it taught me good lessons</t>
  </si>
  <si>
    <t>I think all the activities work together to teach us important skills for our future.</t>
  </si>
  <si>
    <t>Meeting with our mentor has made me feel like I can talk to anyone and has strengthened my confidence in my future.</t>
  </si>
  <si>
    <t>The case study’s are the only thing we did all semester, therefore I learned a lot.</t>
  </si>
  <si>
    <t xml:space="preserve">More mentor activities, meeting with our mentor was the best part of the class. </t>
  </si>
  <si>
    <t>That is all we did all semester.</t>
  </si>
  <si>
    <t xml:space="preserve">I have thought I would get an A in this class until the business case presentation </t>
  </si>
  <si>
    <t xml:space="preserve">Make the groups more evenly split as some of the work seemed more tailored to larger groups </t>
  </si>
  <si>
    <t xml:space="preserve">The course would have been much more difficult and boring. </t>
  </si>
  <si>
    <t xml:space="preserve">Group worked helped me lay out ideas and working together towards a common goal was very beneficial </t>
  </si>
  <si>
    <t>Mentorship</t>
  </si>
  <si>
    <t xml:space="preserve">Case studies </t>
  </si>
  <si>
    <t xml:space="preserve">The case studies helped me learn a lot about all aspects of the venture creation process. I feel they were the best example of putting things we learned in class into practice. </t>
  </si>
  <si>
    <t>I really enjoyed working on the case studies and felt they gave me very good insight into the venture creation process. I also really enjoyed the discussions that followed the case studies and liked hearing how my opinions on them differed from my classmates</t>
  </si>
  <si>
    <t>Not much</t>
  </si>
  <si>
    <t>I got a further understanding of what I knew I needed to work on</t>
  </si>
  <si>
    <t>Designating more clear roles</t>
  </si>
  <si>
    <t>I would have found it challenging and the content wouldn’t be nearly as quality</t>
  </si>
  <si>
    <t xml:space="preserve">Group work helped with different perspectives </t>
  </si>
  <si>
    <t>It made me more confident in how I can lead a group of people</t>
  </si>
  <si>
    <t>It made me use my ability to communicate with people which I am thankful for</t>
  </si>
  <si>
    <t>It made me think critically</t>
  </si>
  <si>
    <t xml:space="preserve">More intriguing case study’s </t>
  </si>
  <si>
    <t>We got to understand hands on</t>
  </si>
  <si>
    <t>Made me understand what I do good and wish I need to work on</t>
  </si>
  <si>
    <t>I don’t</t>
  </si>
  <si>
    <t xml:space="preserve">Less ideas </t>
  </si>
  <si>
    <t>Collaborating</t>
  </si>
  <si>
    <t xml:space="preserve">Because I have more experience </t>
  </si>
  <si>
    <t>Give me real life experience</t>
  </si>
  <si>
    <t>Most enjoyable</t>
  </si>
  <si>
    <t>I thought about to get A or B but I am getting C but every mistakes made by me because I missed classes few times</t>
  </si>
  <si>
    <t>I got really nice feedback from my mentor and he gave me some advice to work on it</t>
  </si>
  <si>
    <t>Just don’t be shy and ask if you need help</t>
  </si>
  <si>
    <t xml:space="preserve">So I learned so many new things and I think I can really use them in other ways </t>
  </si>
  <si>
    <t>Every time and every task related to mentorship and podcast</t>
  </si>
  <si>
    <t xml:space="preserve">Speaking in front of class and podcast procress teached me to be more confident </t>
  </si>
  <si>
    <t xml:space="preserve">Honestly padcasting more interesting and every introvert people must have talk during the process if they have a role and it will be really helpful when you shy </t>
  </si>
  <si>
    <t xml:space="preserve">Mostly new skills </t>
  </si>
  <si>
    <t>Don’t miss the class because most part of activities are in class</t>
  </si>
  <si>
    <t xml:space="preserve">Because there is such a good opportunity to learn more and better </t>
  </si>
  <si>
    <t>It has not changed</t>
  </si>
  <si>
    <t>I have not received feedback from my mentor</t>
  </si>
  <si>
    <t>N/A</t>
  </si>
  <si>
    <t>If I would have completed this course work alone I probably would not have had as good of an understanding of what I was writing/talking about within the project</t>
  </si>
  <si>
    <t>Group work helped my learning in this class because it allowed me to bounce ideas off of my members and get a better understanding of what was going on within the course and our proejct.</t>
  </si>
  <si>
    <t>The semester long group project allowed me to feel more confident in working in a group and being able to make sure things get done without people getting upset with each other.</t>
  </si>
  <si>
    <t>Meeting with a mentor allowed me to learn how to act within a professional setting and the memo/podcast allowed me to see some aspects that businesses must complete which will prepare me for the future.</t>
  </si>
  <si>
    <t xml:space="preserve">I picked what I did as my top-ranked activity because getting to meet with my mentor allowed me to ask industry questions that applied to what I want to do with myself after CSU. </t>
  </si>
  <si>
    <t>Finding a way to make the case presentations more engaging rather than just a class discussion</t>
  </si>
  <si>
    <t>I think that having the mentor gave me an incentive to stay engaged in the class because it was someone outside of the class that brought in new concepts</t>
  </si>
  <si>
    <t>I think I performed better then I expected.</t>
  </si>
  <si>
    <t>I think we could have done a better job communicating and scheduling.</t>
  </si>
  <si>
    <t>The podcast roles did not necessarily seem to be split evenly work wise. I think the work load could have been divided in a different way.</t>
  </si>
  <si>
    <t>I think I would have been overwhelmed and confused. I think the group aspect brought in different perspectives and understandings I think alone it would have been less creative.</t>
  </si>
  <si>
    <t>My group helped my success because we all held up our part and contributed evenly. It never felt like there was someone free riding.</t>
  </si>
  <si>
    <t>The case study made me feel more comfortable because I struggle with presenting in front of people but I felt more comfortable knowing that everyone had to do something similar.</t>
  </si>
  <si>
    <t>I think the podcasting helped me grow professionally because it brought me out of my comfort zone and I learned how to do something new in a professional setting.</t>
  </si>
  <si>
    <t>I learned the most from the mentorship because it was a real-world learning experience. I felt like it was very beneficial to be able to learn from an entrepreneur in the agricultural world that started from the very beginning. I learned so much about her career her passion and her challenges.</t>
  </si>
  <si>
    <t>I think more in class time to meet with groups could have been beneficial and it could have made it easier to stay engaged.</t>
  </si>
  <si>
    <t>I chose it as the most engaging because it was interesting to work alongside class mates and a mentor. It was engaging because the work we had to do was motivating even outside of the classroom.</t>
  </si>
  <si>
    <t>No… I don’t think so</t>
  </si>
  <si>
    <t>Made me feel like I have my stuff together!! Very flattering review.</t>
  </si>
  <si>
    <t>Don’t have it. Or, survival-style voting off of anyone who is incompetent. Lol.</t>
  </si>
  <si>
    <t>Much smoother and faster. I don’t think I needed anyone to get any of this work done.</t>
  </si>
  <si>
    <t>Hindered so dang much- no one wanted to do anything. I felt like I was herding cats for a course that could have been so much more had the enthusiasm at any level been there</t>
  </si>
  <si>
    <t>Well, I completed everything in spite of some group setbacks, so… made me feel like I can rely on myself? I guess?</t>
  </si>
  <si>
    <t>The mentorship has given me some new perspective on the professional world? But I haven’t felt as if I experienced much growth in this course.</t>
  </si>
  <si>
    <t xml:space="preserve">It’s along the same veins as my previous answer- I liked that everyone was forced to engage and that we had the opportunity to talk for an extended period of time </t>
  </si>
  <si>
    <t>This likely isn’t helpful, but I would really appreciate this being a 400 level class and/or get combined with 428. One of the primary reasons for my own lack of engagement in course content is due to the fact that this entire class has been, essentially, one giant review for me. I understand this course is a lower-level course, but I would have gotten a lot more value out of this course if baseline difficulty and complexity of course content was raised, in conjunction with the mentor projects- I think it was so so cool to have that opportunity to really understand the professional world in their eyes, but I feel like the general course atmosphere created by the students was terrible. There’s nothing that makes me lose steam faster for a course than being forced to make group-mates do their assigned work at a very low level of competency.</t>
  </si>
  <si>
    <t>It was fun and provided a unique opportunity to really pick someone’s brain in a structured format. Also, everyone was forced to engage for it which made the activity much more fun.</t>
  </si>
  <si>
    <t>It has not</t>
  </si>
  <si>
    <t xml:space="preserve">I think it would have been much more stressful </t>
  </si>
  <si>
    <t>I think it helped by splitting up the load on the mentor projects, it was nice that someone could always talk to the mentor even if I was busy.</t>
  </si>
  <si>
    <t>It taught me a new way to analyze an article over a problem.</t>
  </si>
  <si>
    <t>A little more guidance with mentors could help</t>
  </si>
  <si>
    <t>I was very interested in the business that my mentor had, making me more engaged naturally</t>
  </si>
  <si>
    <t xml:space="preserve">I was expecting to get at least B grade. But now my grade is A. </t>
  </si>
  <si>
    <t xml:space="preserve">The feedback I received from my mentor is good. </t>
  </si>
  <si>
    <t>I think everything is good in group work.</t>
  </si>
  <si>
    <t>I think if I had completed this class`s coursework alone, it would be more challenging. Because during the group activies, I got lots of ideas from my groupmates.</t>
  </si>
  <si>
    <t>We worked together, shared ideas, and communicated well during the course.</t>
  </si>
  <si>
    <t>All of them helped me to feel more confident.</t>
  </si>
  <si>
    <t>I think case studies will help me when I start my own start-up. Because we discuss real cases, I learned what decisions I should do, and which ones I should not.</t>
  </si>
  <si>
    <t>Our mentor has 2 big business operations. And everytime when we had meetings with him, I learned lots of things from his experience.</t>
  </si>
  <si>
    <t>I think, if the case-based analysis style is changed, students’ engagement will also increase.</t>
  </si>
  <si>
    <t xml:space="preserve">I learned a lot from our mentor during our podcast. </t>
  </si>
  <si>
    <t>Na</t>
  </si>
  <si>
    <t>Keeping one group or helping with communication.</t>
  </si>
  <si>
    <t>If alone it would have been easier in some aspects just because having to wait on people is hard and stressful.</t>
  </si>
  <si>
    <t>It helped me understand the content better and communicate it as well.</t>
  </si>
  <si>
    <t>It helped me learn how to work with others and really take over when people didn’t show up. It also help me learn how to set up analysis and really communicate a case study.</t>
  </si>
  <si>
    <t xml:space="preserve">I was able to apply new skills of communication and really learn behind someone in the industry. </t>
  </si>
  <si>
    <t>Changing group projects it was very hard getting everyone engaged in so many projects. I feel that we had to rely on each other a lot and some people never showed up or it was really hard to get there attention. We also had to use a lot of time outside to meet.</t>
  </si>
  <si>
    <t>Engaging with a mentor was very helpful and fun to learn about. Especially if they play a large role in the industry helps us learn more and prepare more.</t>
  </si>
  <si>
    <t>not much</t>
  </si>
  <si>
    <t>i wouldve missed on what others took from class</t>
  </si>
  <si>
    <t>it was good in communicating and sharing ideas</t>
  </si>
  <si>
    <t>emailing and meeting times</t>
  </si>
  <si>
    <t>getting to speak with real business people was actually proven in real world</t>
  </si>
  <si>
    <t>more time with mentors. let the students lead more in the podcast</t>
  </si>
  <si>
    <t>Because it was good, and it had proven business mentors</t>
  </si>
  <si>
    <t xml:space="preserve">I became more confident </t>
  </si>
  <si>
    <t xml:space="preserve">My mentor gave feedback that made me confident in my networking abilities and pushed me to seek mentorship from anyone that has information that i dont have. </t>
  </si>
  <si>
    <t xml:space="preserve">finding ways to make sure each group member work on the task at hand more readily </t>
  </si>
  <si>
    <t xml:space="preserve">i feel that i would have been forced to make sure my understanding of each concept was more thorough </t>
  </si>
  <si>
    <t xml:space="preserve">a certain group member felt like they were holding back from their true potential </t>
  </si>
  <si>
    <t xml:space="preserve">The podcast gave me confidence in my networking skills. </t>
  </si>
  <si>
    <t xml:space="preserve">Analyzing other ventures that can help you get an understanding of what you may want to do with your own business. </t>
  </si>
  <si>
    <t xml:space="preserve">i feel that i was able to learn a lot about myself from my mentor </t>
  </si>
  <si>
    <t xml:space="preserve">i feel like this call had the must student engagement out of any class i have taken thus far. </t>
  </si>
  <si>
    <t>i enjoyed doing something that is out of the ordinary</t>
  </si>
  <si>
    <t>I feel it was right around what I expected, due to having Lauren before I feel I knew what to expect.</t>
  </si>
  <si>
    <t>N/a</t>
  </si>
  <si>
    <t xml:space="preserve">I feel that it’s a lot of outside group work and there’s nothing you could really change about that. I was lucky to get a really good communicative group I could just see setting up meetings and following through being difficult problem to arise for some groups in the future. </t>
  </si>
  <si>
    <t xml:space="preserve">I feel if I completed this alone it would have been similar, I just feel it might be more rushed if it was alone and less creative. Owen brought some great ideas in for our podcast and Ethan was very helpful on the tech side of things. </t>
  </si>
  <si>
    <t xml:space="preserve">It helped take some stress off of me as I felt my group was reliable in communication and assistance where needed. </t>
  </si>
  <si>
    <t xml:space="preserve">The case study helped me feel a lot more confident in my ability to synthesize information from class into a professional presentation. To add it felt easy to present because I was confident and performed extra work to make sure our presentation could be backed up. I feel this is one of the first times I’ve felt really proud and smart in a presentation in college where I was excited about my topic. </t>
  </si>
  <si>
    <t>I feel the podcast helped me grow as interacting with Helen challenged me to hold a conversation with someone not really that related to me in a professional way. It became easy to talk to Helen and we were able to get some great information and perspective from her as we continued meetings.</t>
  </si>
  <si>
    <t xml:space="preserve">The cases were such good examples of applying vocabulary and concepts we were learning to a multitude of different cases. It was fun to see what kind of businesses people were starting the problems that could arise all of it really. </t>
  </si>
  <si>
    <t xml:space="preserve">I feel that the case studies got long at the end or felt repetitive and once students completed their own it felt like no need to show up. I think making the other case studies students aren’t involved in seem more important to students not presenting such like the in class quiz performed along side. To add the lectures felt a little rushed so it was hard to get topics down. I think that either simplifying this with chapter points would help so it doesn’t feel like so much work. </t>
  </si>
  <si>
    <t xml:space="preserve">I feel the podcast was just fun and something different. I know I was excited to be apart of the filming, and it really made me understand my case better. I had to be able to actively listen while trying to guide the conversation, and think of an answer that was sufficient in return. </t>
  </si>
  <si>
    <t>I did better than I thought I would</t>
  </si>
  <si>
    <t>I didnt recieve any</t>
  </si>
  <si>
    <t>None</t>
  </si>
  <si>
    <t>It would have been much harder and a lot more pressure</t>
  </si>
  <si>
    <t>It helped because we had each other when things got confusing</t>
  </si>
  <si>
    <t>I feel like I have matured in the way i think about business</t>
  </si>
  <si>
    <t>It helped me with communication to get things done</t>
  </si>
  <si>
    <t>I just didn’t gain much from my mentor</t>
  </si>
  <si>
    <t>None I was very engaged</t>
  </si>
  <si>
    <t>I enjoyed doing the case study and presenting it</t>
  </si>
  <si>
    <t xml:space="preserve">I think ive put considerable effort in this course and my grade reflects it accurately. </t>
  </si>
  <si>
    <t>I never received any feedback.</t>
  </si>
  <si>
    <t>Just more topics that foster discussion and ideas.</t>
  </si>
  <si>
    <t>The peer aspect would have been missing so I feel their would be a lack of ideas and discussion.</t>
  </si>
  <si>
    <t>Group work was fun and made me want to actually do my homework.</t>
  </si>
  <si>
    <t>The business case project helped me with procrastination and wanting to stay on track to meet deadlines.</t>
  </si>
  <si>
    <t>I felt the podcast brought out real professionalism due to the nature of the podcast studio, the topics addressed during the podcast, and the fact that we were meeting with our mentors who are real world businessman and women.</t>
  </si>
  <si>
    <t>Same as my pervious answer, I found the case studies fun and exciting and the discussions were interesting and brought out a lot of ideas and thoughts.</t>
  </si>
  <si>
    <t>more case studies that welcome discourse and engagement.</t>
  </si>
  <si>
    <t>The case studies were a fun and interesting method of analyzing topics that helped students bond in the class and I personally found them very interesting.</t>
  </si>
  <si>
    <t xml:space="preserve">Minimally </t>
  </si>
  <si>
    <t>It wouldn’t have been as engaging</t>
  </si>
  <si>
    <t xml:space="preserve">Helped me learn group working. </t>
  </si>
  <si>
    <t xml:space="preserve">It aloud. Me to think more like an entrepreneur </t>
  </si>
  <si>
    <t>The podcast was great cause it was super hands on and we learned a lot through it about our mentor but also how to work better as a group.</t>
  </si>
  <si>
    <t xml:space="preserve">None really
</t>
  </si>
  <si>
    <t>Case anaylisis</t>
  </si>
  <si>
    <t>Same</t>
  </si>
  <si>
    <t>It was great to hear from mentor after becoming close</t>
  </si>
  <si>
    <t>More penalty for group members that hinder work</t>
  </si>
  <si>
    <t>I think I would have succeeded more</t>
  </si>
  <si>
    <t>Group work hindered since one group member always would slack</t>
  </si>
  <si>
    <t>All aspects have made me feel more confident in my abilities</t>
  </si>
  <si>
    <t>I definitely gained professionalism by having to dress business casual in presentations and come to class strictly on time</t>
  </si>
  <si>
    <t>Learning from a mentor is the real deal. They actually went through everything they talk about which not too many professors can relate to</t>
  </si>
  <si>
    <t>The lectures got pretty old especially when focusing on podcast and business case which held a lot of my focus.</t>
  </si>
  <si>
    <t xml:space="preserve">Ive never done a podcast in school so it was really interesting </t>
  </si>
  <si>
    <t xml:space="preserve">It hasn’t. I have very high expectations for myself and they haven’t changed, but they’ve been met </t>
  </si>
  <si>
    <t xml:space="preserve">It was nice to hear the feedback. I think it’s always good to get feedback </t>
  </si>
  <si>
    <t xml:space="preserve">Maybe doing a few surveys throughout the course about your teammates to keep people accountable </t>
  </si>
  <si>
    <t xml:space="preserve">It would have been a lot more but I’m going to be honest I feel like I carried anyways so it would have been Doable. </t>
  </si>
  <si>
    <t xml:space="preserve">I think we were all dedicated to participation and working together which was helpful. </t>
  </si>
  <si>
    <t xml:space="preserve">They all have and I think it’s just from learning the content and applying it </t>
  </si>
  <si>
    <t xml:space="preserve">In like every way. Professionalism, curiosity, and vulnerability with the mentor. Case studies were more informational learning, and working as a team in all aspects </t>
  </si>
  <si>
    <t>Same reason as before, it’s just the most hands on and real-worldly</t>
  </si>
  <si>
    <t xml:space="preserve">I really liked when we learned things in class from the in class activities rather than notes. I feel like a pro to this class is the interactive hands on learning and just carrying that throughout the actual class to a little more would be helpful </t>
  </si>
  <si>
    <t xml:space="preserve">It put everything we talked about in class and made it real. We got to experience and discuss the things from class through real world application.  </t>
  </si>
  <si>
    <t>I became more confident in my expected performance as the semester progressed.</t>
  </si>
  <si>
    <t>It helped me see my strengths more clearly and understand what i can work on moving forward.</t>
  </si>
  <si>
    <t>Maybe setting clearer roles or checkpoints would help keep everyone on the same page and make collaboration smoother.</t>
  </si>
  <si>
    <t>If i had worked alone, I would have missed out on collaboration and feedback from others. It would have been more difficult and less interactive.</t>
  </si>
  <si>
    <t>Group work helped by letting me hear different perspectives and divide tasks, which made projects easier and more engaging. At times, it was  challenging to coordinate schedules, but overall it supported my learning.</t>
  </si>
  <si>
    <t>The activities gave me practice sharing my thoughts, collaborating with others, and applying concepts which increased my confidence.</t>
  </si>
  <si>
    <t>They improved my communication, critical thinking, and confidence in working on real business problems.</t>
  </si>
  <si>
    <t>I learned the most from the business case presentation because it taught me how to analyze a business problem and present solutions effectively.</t>
  </si>
  <si>
    <t>Shorter activities spread throughout class could keep energy and focus higher.</t>
  </si>
  <si>
    <t>It kept me involved and learning through real conversations and guidance.</t>
  </si>
  <si>
    <t>Decided to give less effort to this class as the semester went by due to understanding that my performance in the class didn't represent skills I am required to possess outside of college.</t>
  </si>
  <si>
    <t xml:space="preserve">Helped me understand my skills and what I did well
</t>
  </si>
  <si>
    <t>Peer evaluations but with a bit less weight on points for each large assignment.</t>
  </si>
  <si>
    <t>I would feel a lot more overwhelmed and intimidated with the projects working alone, but final products would likely be better in quality.</t>
  </si>
  <si>
    <t xml:space="preserve">Group work helped balance out the work load but creates the limitation of less cohesiveness with the work. </t>
  </si>
  <si>
    <t xml:space="preserve">Feel a bit more confident in speaking in a professional way through exposure to more experience
</t>
  </si>
  <si>
    <t>communication tactics through email and in person meetings.</t>
  </si>
  <si>
    <t>Learned new skills on how to communicate in a professional matter and learn from real world problems and situations entrepreneurs run into.</t>
  </si>
  <si>
    <t>Select only one large project to focus on for the semester</t>
  </si>
  <si>
    <t>Helped connect to real world careers</t>
  </si>
  <si>
    <t>n/a</t>
  </si>
  <si>
    <t xml:space="preserve">showed me that I did in fact practice communication </t>
  </si>
  <si>
    <t xml:space="preserve">combining all groups for all projects, would make it easier to get things done faster in less meeting times </t>
  </si>
  <si>
    <t xml:space="preserve">would have been way more work to do for one person </t>
  </si>
  <si>
    <t xml:space="preserve">helped, my group was very engaged and helpful </t>
  </si>
  <si>
    <t xml:space="preserve">Podcasting helped me grow my communication skills </t>
  </si>
  <si>
    <t>podcasting, helped me better my communication skills</t>
  </si>
  <si>
    <t xml:space="preserve">Our mentor was super helpful and I learned a lot from him </t>
  </si>
  <si>
    <t xml:space="preserve">I believe this course was super lecture heavy and had so many project, it was also hard to keep track of everything going one having different groups for different things. </t>
  </si>
  <si>
    <t xml:space="preserve">something that was new and exciting, liked that I was able to work with other students </t>
  </si>
  <si>
    <t xml:space="preserve">It did not change at all. </t>
  </si>
  <si>
    <t xml:space="preserve">I did not receive any direct feedback but she did say some things about having confidence that really spoke to me overall. </t>
  </si>
  <si>
    <t xml:space="preserve">Maybe just one group would be successful instead of two different groups, but (and I don't say this ever) I enjoyed the group part of this course. </t>
  </si>
  <si>
    <t xml:space="preserve">I think the course would have been less fun and engaging. When a group is relying on me I think I work way harder to understand overall and so this means I understood the content way better too. </t>
  </si>
  <si>
    <t xml:space="preserve">Group work always makes me nervous because I always end up doing it all and then everyone gets credit. I had a great group this time and so I felt like I had a better experience overall. It still hindered slightly with having to communicate with so many different people. </t>
  </si>
  <si>
    <t xml:space="preserve">I would say that my confidence doesn't come with doing the activities. I still do not feel anymore confident than when the class started. I just do not think that for me personally they coincide. </t>
  </si>
  <si>
    <t>I would say that professionally I have gained much more experience through this course. Whether it be sending a professional email or simply being on time this course has really highlighted and helped me utilize professionalism in school on a real-world scale.</t>
  </si>
  <si>
    <t xml:space="preserve">I feel like the case-based analysis was the best way to show the knowledge we gained in our lectures as well as the best way to see the learning happening. I feel like we were able to see and get an insight into how everyone else was learning and see the wheels actually turning, which I thought was awesome and helped me learn the most overall. </t>
  </si>
  <si>
    <t xml:space="preserve">I would say maybe make the groups the same for different group assignments. I understand trying to get to know more people in the class but it was hard to work with two separate groups fully, for all of the group projects going on. </t>
  </si>
  <si>
    <t xml:space="preserve">I just really like the thought of getting exposure to someone in industry and receiving mentorship from them. Networking is so important in this day in age and so I really was appreciated and engaged in networking with my mentor. </t>
  </si>
  <si>
    <t>It helped me understand the how other people saw my work effort and what I could improve on</t>
  </si>
  <si>
    <t>I think I would've been overwhelmed trying to figure out all the parts by myself</t>
  </si>
  <si>
    <t>I had to learn how to work with others and express myself in bigger groups</t>
  </si>
  <si>
    <t>I was able to see how my knowledge of the topics could translate to the real world</t>
  </si>
  <si>
    <t>It taught me how to communicate my ideas and work with people I have never worked with before. I learned what kind of questions to ask to get deeper answers and how to divide out the work among multiple people.</t>
  </si>
  <si>
    <t xml:space="preserve">Learning in a classroom with example problems can only get me so far. Having someone who has actually experienced what we were learning helped me understand the topics better because I understood the outcome of the decisions and the thought that had to go behind everything my mentor chose. </t>
  </si>
  <si>
    <t>Maybe having more check-ins. There were points where my group and I were confused what we were supposed to do, like for the first meeting with our mentor. Maybe having more of a foundation for the students to go off of.</t>
  </si>
  <si>
    <t>I enjoyed learning from someone who went through what we are learning. It was interesting to see how his story evolved over time due to the decisions he made and get insight into what an entrepreneur does.</t>
  </si>
  <si>
    <t xml:space="preserve">It hasn't changed </t>
  </si>
  <si>
    <t xml:space="preserve">I didn't really receive much feedback </t>
  </si>
  <si>
    <t xml:space="preserve">Maybe sticking to one group for the semester as well as maybe making one big mentor project rather than 3 little ones. </t>
  </si>
  <si>
    <t>I think I definiently wouldn't have been as engaged and i think if I were to do it alone I wouldn't have been able to learn and apply as much knowledge as I did</t>
  </si>
  <si>
    <t xml:space="preserve">I think it helps for the most part. I think having multiple different groups made it hard, and the different projects made it hard to really focus on one. </t>
  </si>
  <si>
    <t>I think it has made me feel more confident in presenting and advocating my ideas. Even with critic and being wrong sometimes I was afraid to voice my ideas and opinions even if they weren't necessarily right and it allowed me to learn from them.</t>
  </si>
  <si>
    <t xml:space="preserve">I think the mentorship, for example, really helped me prepare for interacting with other professionals in the industry. I had a good opportunity to make a connection and network within the industry. </t>
  </si>
  <si>
    <t xml:space="preserve">I think I learned the most from this because we were able to take what we learned in class and apply it which really helped me solidify my knowledge and understanding of it. </t>
  </si>
  <si>
    <t xml:space="preserve">I think having fewer group projects. It made people want to put minimal effort into each, because there were so many of them. If you had one major group project, I think it could allow people to better focus and put effort into it. </t>
  </si>
  <si>
    <t xml:space="preserve">I enjoyed getting to learn about someone in the industry, and it was a great opportunity for me to network. </t>
  </si>
  <si>
    <t xml:space="preserve">It has been about the same. </t>
  </si>
  <si>
    <t>It helped me see what things I could to help better my career development.</t>
  </si>
  <si>
    <t xml:space="preserve">Too many groups. It becomes confusing at a point. </t>
  </si>
  <si>
    <t>More stressful.</t>
  </si>
  <si>
    <t>It made it feel easier because we could bounce ideas.</t>
  </si>
  <si>
    <t>I know that I can do anything even if I don't want to do it.</t>
  </si>
  <si>
    <t>They helped me learn some time management skills. Plus some more professional skills in terms of meetings and balancing all of that.</t>
  </si>
  <si>
    <t xml:space="preserve">Learning and talking to professionals was a good experience. </t>
  </si>
  <si>
    <t xml:space="preserve">There is too much happening with multiple groups in the class that at times both need group meetings outside of class is a little overwhelming. This almost pushes engagement and turns it into resentment. </t>
  </si>
  <si>
    <t xml:space="preserve">This was the time that I felt I was learning the most in the class. Working with a mentor who has ben in an industry and succeeded and having the ability to learn from that was the most engaging part of the class to me. </t>
  </si>
  <si>
    <t>I expected to do poorly, but I did not do poorly.</t>
  </si>
  <si>
    <t>I feel it would have been tricking but I know things probably would have gotten done quicker.</t>
  </si>
  <si>
    <t>There were times when group work was good and effective, but there were also times we had to rely on someone else to get their work done, making it stressful on the ones who had already completed their task.</t>
  </si>
  <si>
    <t>Again, it has built my communication, allowing me to further explore opportunities.</t>
  </si>
  <si>
    <t>It has helped me become a better communicator.</t>
  </si>
  <si>
    <t>I selected this one as my top because it allowed me to apply concepts we learned in class.</t>
  </si>
  <si>
    <t xml:space="preserve">I feel this is the most engaging as we will be presenting our own case study which allowed us to implement what we gained from this class along with our mentors. It ties it all together. </t>
  </si>
  <si>
    <t xml:space="preserve">Nothing changed, i am satisfied with my grade. </t>
  </si>
  <si>
    <t xml:space="preserve">She didn’t give us any feedback but was very helping during the whole semester. </t>
  </si>
  <si>
    <t xml:space="preserve">Not having so many projects or assignments as many people in this class took this course as an elective it made it difficult to keep up. </t>
  </si>
  <si>
    <t xml:space="preserve">I would’ve been more stressed as there would’ve been too much work to do on my own. </t>
  </si>
  <si>
    <t xml:space="preserve">My group did an okay job in communicating with each other but, there could’ve been improvement in order to engage more during this course. </t>
  </si>
  <si>
    <t xml:space="preserve">Learning how to work as a team helped me learn how to build relationships with others and being able to relate to other which helped me gain confidence. </t>
  </si>
  <si>
    <t>They have helped me grow as a team leader and have helped me communicate better with my peers.</t>
  </si>
  <si>
    <t xml:space="preserve">Learning from someone new in the entrepreneurial industry gave me an insight of what it’s like having a business. </t>
  </si>
  <si>
    <t xml:space="preserve">I would say to not add so many projects. </t>
  </si>
  <si>
    <t>We learned many new things about our mentors during the podcast.</t>
  </si>
  <si>
    <t>I did better at the presentation and podcast than I thought I would</t>
  </si>
  <si>
    <t>I did not receive feedback from my mentor</t>
  </si>
  <si>
    <t xml:space="preserve">Making sure each group member is engaged and actively doing work </t>
  </si>
  <si>
    <t xml:space="preserve">I may have been less frustrated </t>
  </si>
  <si>
    <t xml:space="preserve">I don’t feel like it helped or hindered.
</t>
  </si>
  <si>
    <t>Podcasting made me a better public speaker as well as fishbowl groups.</t>
  </si>
  <si>
    <t>I think the podcast and presenting the case study helped me grow my public speaking skills and make me less nervous.</t>
  </si>
  <si>
    <t>I learned about real world context and how to actually apply what we have learned in the class about starting a business and making it successful.</t>
  </si>
  <si>
    <t>Encouraging more engagement within the groups, I feel like a lot of people were not very engaged in the podcast and presentations.</t>
  </si>
  <si>
    <t>Helped me take real world examples and apply what we were learning in class to them.</t>
  </si>
  <si>
    <t>I became more confident.</t>
  </si>
  <si>
    <t xml:space="preserve">It was valuable because I have an unbiased opinion about group dynamic and how I perform in it. </t>
  </si>
  <si>
    <t xml:space="preserve">I think if we are able to choose our own team groups or work alone would help in the future. </t>
  </si>
  <si>
    <t>I would have been better able to manage time and flow of project work.</t>
  </si>
  <si>
    <t xml:space="preserve">I had team members that were disinterested and were a weight throughout the project. It made projects unenjoyable and hindered my learning. </t>
  </si>
  <si>
    <t>I think the case studies were a good warm up to the rest of activities.</t>
  </si>
  <si>
    <t xml:space="preserve">The mentorship activities in this course helped me prepare for future industry interactions. </t>
  </si>
  <si>
    <t>I think having an experienced mentor was very valuable in learning from this course. I think I was able to connect class material with real world scenarios.</t>
  </si>
  <si>
    <t xml:space="preserve">I think this course at times lacked structure. It felt like we were all trying to figure it out as we go. I think future students would value structure going into projects to do their best work. As a student I felt as a mediator between the profesor and mentor trying to interpret projects. </t>
  </si>
  <si>
    <t xml:space="preserve">I think that the mentorship portion was the most interesting to me. I was able to engage with an experienced mentor and gain valuable industry insight.  </t>
  </si>
  <si>
    <t xml:space="preserve">I think maybe doing case studies every second week instead of every week. </t>
  </si>
  <si>
    <t xml:space="preserve">Less stressful, attempting to work cohesively in a group can be more work than the actual assignment,  </t>
  </si>
  <si>
    <t xml:space="preserve">Not really 
</t>
  </si>
  <si>
    <t xml:space="preserve">Developed my interpersonal skills
</t>
  </si>
  <si>
    <t xml:space="preserve">It was was more specific </t>
  </si>
  <si>
    <t xml:space="preserve">It was personal and engaging </t>
  </si>
  <si>
    <t xml:space="preserve">I have had a A all semester and plan on keeping it with the hard work that i have done </t>
  </si>
  <si>
    <t xml:space="preserve">The feedback from my mentor definitely showed me ways that i can improve and how to change something’s for next time </t>
  </si>
  <si>
    <t xml:space="preserve">making one group for all of the projects and not splitting it up </t>
  </si>
  <si>
    <t xml:space="preserve">my experience would have definitely been worse. </t>
  </si>
  <si>
    <t xml:space="preserve">Group work definitely helped with collaboration but also was very hard to find the time outside of class to fit into my schedule. </t>
  </si>
  <si>
    <t xml:space="preserve">It has brought me confidence in public speaking and being able to back my own research. </t>
  </si>
  <si>
    <t xml:space="preserve">it has helped me prepare for more formal business meetings and being able to understand your research and be confident in explaining it to anybody. </t>
  </si>
  <si>
    <t xml:space="preserve">i learned a lot about real world business advice and skills on how to scale your business as well as when do take risks vs when to not </t>
  </si>
  <si>
    <t xml:space="preserve">making all of the group projects one group rather than creating multiple groups </t>
  </si>
  <si>
    <t>it has real research in today’s world</t>
  </si>
  <si>
    <t>It has changed slightly. I expected to do well, but now I am okay taking a lower grade.</t>
  </si>
  <si>
    <t>Feedback influenced my understanding of my strengths</t>
  </si>
  <si>
    <t>The peer evaluation forms are nice, but some way to ensure each groupmate is doing the work they are supposed to do.</t>
  </si>
  <si>
    <t>I believe the mentorship experience would have been totally different, and I think I would've learned less.</t>
  </si>
  <si>
    <t>Group work helped my learning by learning how to communicate and work as a team, as well as being exposed to different ideas. It was sometimes hindering because of that communication, however.</t>
  </si>
  <si>
    <t>I feel more confident in my general ability to understand how to start a business.</t>
  </si>
  <si>
    <t>I learned more about communicating and how to analyze business plans, especially ones from upstart companies.</t>
  </si>
  <si>
    <t>I learned the most from my mentorship because of the way it forced me to work as a team, and communicate clearly.</t>
  </si>
  <si>
    <t>While the podcast is a great idea and I enjoyed doing it, it feels less straightforward how to apply course concepts to it.</t>
  </si>
  <si>
    <t>I think the business case was most engaging because I felt like it applied course concepts easily</t>
  </si>
  <si>
    <t>It's on par; I am a B / A student and i know this well.</t>
  </si>
  <si>
    <t>I think that they just confirmed my strengths in many ways.</t>
  </si>
  <si>
    <t xml:space="preserve">nothing that can be done administratively. The peer evaluations are a great idea and should be continued. </t>
  </si>
  <si>
    <t>I think if I had done the classwork alone, it would have turned out the same. But don't recommend doing so because the workload for one person would be overwhelming.</t>
  </si>
  <si>
    <t>It hindered a little because I had to rely on others to finish the work before I could continue. And when they choose to wait or not do the work, it hurts the group and project.</t>
  </si>
  <si>
    <t>The business case helped me realize that I can do a lot more in a short amount of time than I had expected.</t>
  </si>
  <si>
    <t>The mentorship/podcasting, by far, was the greatest thing professionally. It allowed us to talk to someone in the industry and we had to do it in a way to seek the info we needed.</t>
  </si>
  <si>
    <t>I learn from talking to people and doing things. Talking to my mentor I was able to understand how that business works and understand it way better than if I read it in a book.</t>
  </si>
  <si>
    <t>Align the mentor with students who aim for the same thing and the type of work they do.</t>
  </si>
  <si>
    <t>It was the most engaging because it was someone outside of CSU who could help me in the long run. Selfishly, I must say that getting my name out to people and making sure they know me is why I really liked the mentorship.</t>
  </si>
  <si>
    <t>I do not believe it has changed and if it did my grade expectation for myself has stayed constant</t>
  </si>
  <si>
    <t xml:space="preserve">I did not receive feedback from my mentor. </t>
  </si>
  <si>
    <t>Having a way to make sure each member is contributing.</t>
  </si>
  <si>
    <t>The workload would have been heavier and maybe slightly more stressful.</t>
  </si>
  <si>
    <t>The group work was nice to be able to divide the workload but sometimes the other group members did not always complete their portion on time.</t>
  </si>
  <si>
    <t>I was able to practice my skills more.</t>
  </si>
  <si>
    <t>They have taught me how to communicate with industry professionals and entrepreneurs in a professional way.</t>
  </si>
  <si>
    <t>The podcast felt more like a conversation where we could talk and ask questions which was a more valuable way to learn about my mentor.</t>
  </si>
  <si>
    <t>To improve student engagement a potential idea would be to have a way to check in to see if each of the group members are contributing to the work.</t>
  </si>
  <si>
    <t xml:space="preserve">I found the student led podcast most engaging because we had to do the preparation before hand to ensure that the podcast went smoothly. </t>
  </si>
  <si>
    <t>It hasn’t really, my goal was to end with an A and that looks like I will be</t>
  </si>
  <si>
    <t>He let me know that I was good with communication which was nice to know.</t>
  </si>
  <si>
    <t xml:space="preserve">No suggestions </t>
  </si>
  <si>
    <t xml:space="preserve">I probably would have understood more about my mentor and maybe the coursework. I also probably would have disliked the course much more. </t>
  </si>
  <si>
    <t>It helped because if I was confused on something I could work with my group and ask questions.</t>
  </si>
  <si>
    <t xml:space="preserve">That skill for me has not changed. </t>
  </si>
  <si>
    <t xml:space="preserve">Working with a mentor helped me learn how to interact in business situations and professionally. </t>
  </si>
  <si>
    <t xml:space="preserve">Because this took the most amount of work and therefore I studied the different business options and whatnot more to get a better understanding of how running a business would go. </t>
  </si>
  <si>
    <t>I personally did not feel I got much out of the podcast portion of class. I think if the class were restructured where students had to create their own mock business and figure out how to do that it would relate more to the course title and students would get more out of it.</t>
  </si>
  <si>
    <t>Because I feel it took the most amount of work and effort</t>
  </si>
  <si>
    <t>It has not changed.</t>
  </si>
  <si>
    <t>The feedback from my mentor really pushed me to explore new options and think creatively.</t>
  </si>
  <si>
    <t>I have no suggestions.</t>
  </si>
  <si>
    <t>I think I would have learned less and been a lot less confident if I had completed the coursework alone.</t>
  </si>
  <si>
    <t>Group work helped me to learn how to work with different types of people and personalities, but it may have hindered when people did not listen to other peoples opinions.</t>
  </si>
  <si>
    <t xml:space="preserve">The podcasting, case studies, and business case helped me feel more confident in my abilities by accomplishing something hard. It was difficult to work in groups with many different types of personalities while also balancing a heavy schedule. But, by accomplishing that I feel much more confident in what I can do. </t>
  </si>
  <si>
    <t>The mentorship really helped me to prepare for future industry interactions simply by learning more about the industry itself. Also by meeting with someone in the industry, I am a lot less nervous about future interactions.</t>
  </si>
  <si>
    <t xml:space="preserve">I think I learned the most from our mentor because I could easily relate to her experiences. I learn better when I can see myself in that position that I'm learning about. I also have more trust in what she is saying because she lived it. I learned a lot about choosing a career, switching careers, and how to embrace challenges. </t>
  </si>
  <si>
    <t>Making the meetings, surveys, and things like that for credit I think would entice more students to be engaged.</t>
  </si>
  <si>
    <t>It was a project that included lots of creativity and meeting several times with our mentor and/or our group to complete. It was also a unique project that kept me interested throughout the semester.</t>
  </si>
  <si>
    <t>Always have group sit together</t>
  </si>
  <si>
    <t>Would be more locked in</t>
  </si>
  <si>
    <t>finding availability</t>
  </si>
  <si>
    <t>helped me be a better speaker</t>
  </si>
  <si>
    <t>Helped me learn new skills</t>
  </si>
  <si>
    <t>Learned a lot from business cases</t>
  </si>
  <si>
    <t>most engaging</t>
  </si>
  <si>
    <t xml:space="preserve">I have put in the work i feel was necessary but my attendance could have been better so I dont think I should be penalized but I think it is an area of improvement </t>
  </si>
  <si>
    <t>I am happy with my feedback and I learned that I do need to jump in if I have an idea even when I am nervous</t>
  </si>
  <si>
    <t xml:space="preserve">I think it was done right. </t>
  </si>
  <si>
    <t xml:space="preserve">I would not have been able to think outside of the box. I am a very literally and by the book personality so it would have been extremely difficult </t>
  </si>
  <si>
    <t xml:space="preserve">I think group work helps with accountability but it also helped to keep me more engaged </t>
  </si>
  <si>
    <t>I am more confident in this major and I am learnign about what routes I could take in my life</t>
  </si>
  <si>
    <t>I learned to bemore creative and think outside of the box with activities and learning how to be more independent in my learning</t>
  </si>
  <si>
    <t>i learned so much from my mentor and could see myself in the real world job doing the same stuff</t>
  </si>
  <si>
    <t>I struggled with the time of the class and how there was so much outside work and little class work making it feel overwhelming sometimes with the outside of class workload</t>
  </si>
  <si>
    <t>Having a mentor to teach and walk me through something in the real world work force gain my attention the most</t>
  </si>
  <si>
    <t>Hasn't changed.</t>
  </si>
  <si>
    <t>It taught me that if I put in effort good things will happen.</t>
  </si>
  <si>
    <t>None.</t>
  </si>
  <si>
    <t xml:space="preserve">I would not have had motivation. </t>
  </si>
  <si>
    <t>Group work gave me ideas other than my own.</t>
  </si>
  <si>
    <t>Taught me about work ethic.</t>
  </si>
  <si>
    <t>I now have some sort of idea on how businesses work.</t>
  </si>
  <si>
    <t>Mentorship program taught me a lot about myself and other things that are extremely important.</t>
  </si>
  <si>
    <t>It was on us a as a group to be engaged.</t>
  </si>
  <si>
    <t>Q38</t>
  </si>
  <si>
    <t>Q36</t>
  </si>
  <si>
    <t>Q35</t>
  </si>
  <si>
    <t>Q34</t>
  </si>
  <si>
    <t>Q33</t>
  </si>
  <si>
    <t>Q32</t>
  </si>
  <si>
    <t>Q31</t>
  </si>
  <si>
    <t>Q30</t>
  </si>
  <si>
    <t>Q28</t>
  </si>
  <si>
    <t>Q27</t>
  </si>
  <si>
    <t>Q29_4</t>
  </si>
  <si>
    <t>Q29_3</t>
  </si>
  <si>
    <t>Q29_2</t>
  </si>
  <si>
    <t>Q29_1</t>
  </si>
  <si>
    <t>Q26_4</t>
  </si>
  <si>
    <t>Q26_3</t>
  </si>
  <si>
    <t>Q26_2</t>
  </si>
  <si>
    <t>Q26_1</t>
  </si>
  <si>
    <t>Q12_13</t>
  </si>
  <si>
    <t>Q12_12</t>
  </si>
  <si>
    <t>Q12_11</t>
  </si>
  <si>
    <t>Q12_10</t>
  </si>
  <si>
    <t>Q12_9</t>
  </si>
  <si>
    <t>Q12_8</t>
  </si>
  <si>
    <t>Q12_7</t>
  </si>
  <si>
    <t>Q12_6</t>
  </si>
  <si>
    <t>Q12_5</t>
  </si>
  <si>
    <t>Q12_4</t>
  </si>
  <si>
    <t>Q12_3</t>
  </si>
  <si>
    <t>Q12_2</t>
  </si>
  <si>
    <t>Q12_1</t>
  </si>
  <si>
    <t>Q11_6</t>
  </si>
  <si>
    <t>Q11_5</t>
  </si>
  <si>
    <t>Q11_4</t>
  </si>
  <si>
    <t>Q11_3</t>
  </si>
  <si>
    <t>Q11_2</t>
  </si>
  <si>
    <t>Q11_1</t>
  </si>
  <si>
    <t>Q10_6</t>
  </si>
  <si>
    <t>Q10_5</t>
  </si>
  <si>
    <t>Q10_4</t>
  </si>
  <si>
    <t>Q10_3</t>
  </si>
  <si>
    <t>Q10_2</t>
  </si>
  <si>
    <t>Q10_1</t>
  </si>
  <si>
    <t>Q9_12</t>
  </si>
  <si>
    <t>Q9_11</t>
  </si>
  <si>
    <t>Q9_10</t>
  </si>
  <si>
    <t>Q9_9</t>
  </si>
  <si>
    <t>Q9_8</t>
  </si>
  <si>
    <t>Q9_7</t>
  </si>
  <si>
    <t>Q9_6</t>
  </si>
  <si>
    <t>Q9_5</t>
  </si>
  <si>
    <t>Q9_4</t>
  </si>
  <si>
    <t>Q9_3</t>
  </si>
  <si>
    <t>Q9_2</t>
  </si>
  <si>
    <t>Q9_1</t>
  </si>
  <si>
    <t>Q8_12</t>
  </si>
  <si>
    <t>Q8_11</t>
  </si>
  <si>
    <t>Q8_10</t>
  </si>
  <si>
    <t>Q8_9</t>
  </si>
  <si>
    <t>Q8_8</t>
  </si>
  <si>
    <t>Q8_7</t>
  </si>
  <si>
    <t>Q8_6</t>
  </si>
  <si>
    <t>Q8_5</t>
  </si>
  <si>
    <t>Q8_4</t>
  </si>
  <si>
    <t>Q8_3</t>
  </si>
  <si>
    <t>Q8_2</t>
  </si>
  <si>
    <t>Q8_1</t>
  </si>
  <si>
    <t>Q7_12</t>
  </si>
  <si>
    <t>Q7_11</t>
  </si>
  <si>
    <t>Q7_10</t>
  </si>
  <si>
    <t>Q7_9</t>
  </si>
  <si>
    <t>Q7_8</t>
  </si>
  <si>
    <t>Q7_7</t>
  </si>
  <si>
    <t>Q7_6</t>
  </si>
  <si>
    <t>Q7_5</t>
  </si>
  <si>
    <t>Q7_4</t>
  </si>
  <si>
    <t>Q7_3</t>
  </si>
  <si>
    <t>Q7_2</t>
  </si>
  <si>
    <t>Q7_1</t>
  </si>
  <si>
    <t>Q6_12</t>
  </si>
  <si>
    <t>Q6_11</t>
  </si>
  <si>
    <t>Q6_10</t>
  </si>
  <si>
    <t>Q6_9</t>
  </si>
  <si>
    <t>Q6_8</t>
  </si>
  <si>
    <t>Q6_7</t>
  </si>
  <si>
    <t>Q6_6</t>
  </si>
  <si>
    <t>Q6_5</t>
  </si>
  <si>
    <t>Q6_4</t>
  </si>
  <si>
    <t>Q6_3</t>
  </si>
  <si>
    <t>Q6_2</t>
  </si>
  <si>
    <t>Q6_1</t>
  </si>
  <si>
    <t>I will use these traits to find opportunities and work hard through challenges in the future.</t>
  </si>
  <si>
    <t>I did not get it either.</t>
  </si>
  <si>
    <t>I did not receive any peer feedback but I tried to show initiative and determination in our projects.</t>
  </si>
  <si>
    <t>The business case presentation supported my growth the most because it pushed me to analyze a real problem, think creatively about solutions, and present confidently.</t>
  </si>
  <si>
    <t>I have grown by learning to speak up more, work better with a team, and think like an entrepreneur when evaluating ideas and opportunities.</t>
  </si>
  <si>
    <t xml:space="preserve">In my career experience and classes I plan to apply these characteristics. Also future team relationships. </t>
  </si>
  <si>
    <t xml:space="preserve">My mentor described my initiative as a leader and drive to achive. </t>
  </si>
  <si>
    <t>I thin the podcast was most supported because it allowed me to tackle something new and see myself reflected in that work.</t>
  </si>
  <si>
    <t>I am more confidence in doing them.</t>
  </si>
  <si>
    <t>Continue holding myself accountable for making sure things get done</t>
  </si>
  <si>
    <t>Once again, super flattering review and it seems like I’m on the right track</t>
  </si>
  <si>
    <t>I believe some of my peers would not speak favorably about the fact that I held them accountable to their work, but that’s not my problem</t>
  </si>
  <si>
    <t>Podcast? One of the only times I’ve felt a lot of mutual enthusiasm and commitment to participation from everyone involved. Was super fun to do.</t>
  </si>
  <si>
    <t>I have become highly proficient in them, especially due to my other coursework</t>
  </si>
  <si>
    <t>In my career!</t>
  </si>
  <si>
    <t>He thought we should have met more. Overall he had good things to say.</t>
  </si>
  <si>
    <t>Podcast</t>
  </si>
  <si>
    <t>I have had to work with a team and that definitely helped and challenged me.</t>
  </si>
  <si>
    <t>I feel these are just characteristics anyone could use in their lifestyle everyday. Teamwork is always going to be prevalent anywhere you are, as for coach ability I think being able to take feedback shows respect for yourself and ego. I always appreciate hearing my teachers thoughts and what they want or expect from me, as well as others around me.</t>
  </si>
  <si>
    <t xml:space="preserve">My team has mentioned me being really helpful in starting things for us and getting the ball rollling. I appreciate them noticing the help I want to put toward the group as well as giving feedback on this work so we can make it the best product. </t>
  </si>
  <si>
    <t>I feel the podcast due to all the pre work and meetings. It really was the bulk of our class and I feel that allowed the most collaboration, meeting deadlines, and feedback.</t>
  </si>
  <si>
    <t xml:space="preserve">I feel I have pushed myself to take team as well as teacher feedback. To add i feel that I really trusted in my team, helped where I could, and they showed the same support. I did really try to get things done early, take in feedback, and set things up for my teams success. </t>
  </si>
  <si>
    <t>Problably in the future businesses.</t>
  </si>
  <si>
    <t>He also thinks I improved my these characteristics.</t>
  </si>
  <si>
    <t>They also think I improved my these characteristics.</t>
  </si>
  <si>
    <t>All of them helped me.</t>
  </si>
  <si>
    <t>During the course, I improved my this characteristics.</t>
  </si>
  <si>
    <t xml:space="preserve">For me I think it is important to apply this at internships as well as any other professional setting. I also think it is imprtant when it comes to working in groups within my different courses. </t>
  </si>
  <si>
    <t xml:space="preserve">They haven't given me any. </t>
  </si>
  <si>
    <t xml:space="preserve">My peers noted that I did a good job making the effort to communicate with everyone in the group, including the mentor. </t>
  </si>
  <si>
    <t xml:space="preserve">Probably the podcast because I was able to take feedback from both my mentor and groupmates and improve from that feedback. </t>
  </si>
  <si>
    <t xml:space="preserve">I think I have definitely improved after taking this course. Especially in the 14 part. </t>
  </si>
  <si>
    <t>The podcast because it was the most hands on</t>
  </si>
  <si>
    <t>My learning more abt entrepreneurship</t>
  </si>
  <si>
    <t xml:space="preserve">I plan to continue using these characteristics to further my career and improve my network of professionals I am in contact with. </t>
  </si>
  <si>
    <t xml:space="preserve">I did not receive feedback. </t>
  </si>
  <si>
    <t xml:space="preserve">My peers believe that I do a good job of some of these characteristics. </t>
  </si>
  <si>
    <t>The podcast and business case most supported my growth.</t>
  </si>
  <si>
    <t>Yes, I have learned to communicate in a professional way to my peers and my mentor.</t>
  </si>
  <si>
    <t xml:space="preserve">I believe that 12 will be a good characteristic to apply to my life because there is a lot of unknowns coming up. I plan to apply my 3 skills to other classes </t>
  </si>
  <si>
    <t>My peers have said that I communicate well, it could just maybe be a little faster sometimes.</t>
  </si>
  <si>
    <t xml:space="preserve">I would say the podcast because of the different groups and mentors. As well as just needing to communicate more </t>
  </si>
  <si>
    <t>I feel like my 3 skills have grown a lot just over the last semester, I am not really as anxious to speak up in class anymore. There as been a lot of stuff that happened this semester that I was not expected and I believe my 12 has grown as well.</t>
  </si>
  <si>
    <t>I plan to use these characteristics in classes and professional settings.</t>
  </si>
  <si>
    <t>I have not really received feedback, but I think she has credited our ability to improve.</t>
  </si>
  <si>
    <t>I have not received feedback.</t>
  </si>
  <si>
    <t>The podcast and business Case presentation most supported this growth because I had to use all three of the characteristics.</t>
  </si>
  <si>
    <t>I have been very realistic with myself about how I should improve these characteristics and I think that has helped me to grow in these areas over the semester.</t>
  </si>
  <si>
    <t>In other classes and professionally, I can work on 11. I am constantly working with other people and building a better team could always improve that area.</t>
  </si>
  <si>
    <t>I don't know. They haven't mentioned anything about these</t>
  </si>
  <si>
    <t>Podcast and Business Case</t>
  </si>
  <si>
    <t>I have confirmed that all these really do reflect me. But I have work to do in 11, so that it could be better.</t>
  </si>
  <si>
    <t xml:space="preserve">I plan to use my characteristics all of my life. They are things that I value and characteristics that honestly shape who I am as a whole. </t>
  </si>
  <si>
    <t>No direct feedback given but I do think that she sees and feels my 9.</t>
  </si>
  <si>
    <t xml:space="preserve">No direct feedback was given but I hope they see the 9 and see me trying to work on 13 and calculated risk. </t>
  </si>
  <si>
    <t xml:space="preserve">I have seen it through all of the assignments of this course but I think that the podcast helped the most since it was in an area that I had 9 for and hearing from a mentor helped me gain these characteristics a little deeper. </t>
  </si>
  <si>
    <t xml:space="preserve">I think that I have grown in both 9 and calculated risk. </t>
  </si>
  <si>
    <t>I plan to apply these to future internships and other professional settings by taking what I've learned about communicating and maintaining 17 and applying them.</t>
  </si>
  <si>
    <t>I have not received feedback that relate to these characteristics</t>
  </si>
  <si>
    <t>Business Case Presentation, because it involved a lot of 3</t>
  </si>
  <si>
    <t>I have grown by communicating better, especially in group assignments. I have practiced 17 by completing some assignments earlier</t>
  </si>
  <si>
    <t>Beyond this course I plan to apply these characteristics in future jobs and interviews as well as possible entrepreneurial opportunities.</t>
  </si>
  <si>
    <t>She mentioned that all of us did a good job.</t>
  </si>
  <si>
    <t xml:space="preserve">They have shared that I have showed these characteristics </t>
  </si>
  <si>
    <t>The podcast supported my growth the most because it was something brand new and uncomfortable and I was able to persevere and I was determined to create a solid podcast episode.</t>
  </si>
  <si>
    <t>I think I have persevered through challenging assignments. I was able to let our mentor be a coach and listen to her experiences and her advice. I also kept myself accountable on turning things in on time, and showing up.</t>
  </si>
  <si>
    <t>I plan to bring these characteristics into the workplace as well as anywhere else I end up participating (stockgrowers association, NWSS, etc.)</t>
  </si>
  <si>
    <t>All three supported my growth because they allowed me to work with others</t>
  </si>
  <si>
    <t>Through the group project I learned how to communicate more clearly with my group in order to get my point across</t>
  </si>
  <si>
    <t xml:space="preserve">Continue to grow them and work on them. </t>
  </si>
  <si>
    <t xml:space="preserve">Good things but 3 he gave us all a 7 which I’m going to be honest I’m not sure why. </t>
  </si>
  <si>
    <t xml:space="preserve">They all said good things about each </t>
  </si>
  <si>
    <t xml:space="preserve">The mentorship because I could apply them in real time in the real world </t>
  </si>
  <si>
    <t xml:space="preserve">I think just being in a setting where I could apply and work on them made me develop them exponentially. </t>
  </si>
  <si>
    <t xml:space="preserve">Good 3 for meetings </t>
  </si>
  <si>
    <t>Working with a mentor and understanding him through podcast and prep for podcast in meetings with him</t>
  </si>
  <si>
    <t xml:space="preserve">Have grown mostly in 3s but limited situations through the class to evolve on 12 or determination. Determination is applicable to all academic work while tolerance for uncertainty was limited as there was little uncertainty of how everything was going to go.
</t>
  </si>
  <si>
    <t>Keep working on them a little at a time.</t>
  </si>
  <si>
    <t>I do good in a lot of them.</t>
  </si>
  <si>
    <t xml:space="preserve">They say I am starting to be more open to doing things I would not do normally. </t>
  </si>
  <si>
    <t>The podcast because I was able to work with a mentor who helped me grow a lot just from working with him.</t>
  </si>
  <si>
    <t xml:space="preserve">I take more risks and am starting to become more comfortable in that position. </t>
  </si>
  <si>
    <t>in every aspect of my life</t>
  </si>
  <si>
    <t>I think my mentor enjoyed talkin with me</t>
  </si>
  <si>
    <t>the podcast brought out 3 and so did the presentation</t>
  </si>
  <si>
    <t>I think so yeah.</t>
  </si>
  <si>
    <t>by doing them</t>
  </si>
  <si>
    <t>case, and mentorship</t>
  </si>
  <si>
    <t>id say by seeing risks taken by some people in case studies and seeing how they succeeded or failed</t>
  </si>
  <si>
    <t xml:space="preserve">By asking questions and working hard at an internship
</t>
  </si>
  <si>
    <t xml:space="preserve">Case study
</t>
  </si>
  <si>
    <t xml:space="preserve">learned more about good risks vs bad risks
</t>
  </si>
  <si>
    <t xml:space="preserve">I plant to carry the confidence this course has given me into my own venture </t>
  </si>
  <si>
    <t xml:space="preserve">my mentor has told me that i my enthusiasm has a strong connection to what drives me to succeed </t>
  </si>
  <si>
    <t xml:space="preserve">I take charge in making sure that i am on the same page as everyone </t>
  </si>
  <si>
    <t>Podcast because of its high level of interaction</t>
  </si>
  <si>
    <t>yes</t>
  </si>
  <si>
    <t>Communicating with the people I work with</t>
  </si>
  <si>
    <t>I was quiet but worked well</t>
  </si>
  <si>
    <t>I got better at 3 and worked well with the group</t>
  </si>
  <si>
    <t>The podcast because we had to learn how to work together and communicate with the mentor through emails</t>
  </si>
  <si>
    <t>I learned how to express my ideas and communicate indifferent manners for different people</t>
  </si>
  <si>
    <t xml:space="preserve">I plan on using these skills everyday in my professional career </t>
  </si>
  <si>
    <t>The podcast helped grow these skills the most as we were thrown into the deep end with it. Being thrown into to the deep end like that gave me the more confidence in my abilities</t>
  </si>
  <si>
    <t>I plan to ask for feedback frequently</t>
  </si>
  <si>
    <t>I believe he reflected that we were good with staying on track and getting things done</t>
  </si>
  <si>
    <t>Business case presentation</t>
  </si>
  <si>
    <t>I feel I have grown</t>
  </si>
  <si>
    <t>My mentor spoke deeply about my 13 and entrepreneurial coschability</t>
  </si>
  <si>
    <t>All</t>
  </si>
  <si>
    <t xml:space="preserve">Internships </t>
  </si>
  <si>
    <t>He gave me all postivie feedback</t>
  </si>
  <si>
    <t>business case</t>
  </si>
  <si>
    <t xml:space="preserve">I have developed team work and 12 </t>
  </si>
  <si>
    <t xml:space="preserve">Working with my coworkers. </t>
  </si>
  <si>
    <t>She didn’t give us any feedback.</t>
  </si>
  <si>
    <t>They stated i have put my characteristics into work by putting my part in the podcast assignments.</t>
  </si>
  <si>
    <t>The podcast since it helped me think outside of the box and work with my team more.</t>
  </si>
  <si>
    <t xml:space="preserve">I have shown these characteristics by working with my team and doing my assignments. </t>
  </si>
  <si>
    <t>I plan on applying them to future work and internships</t>
  </si>
  <si>
    <t xml:space="preserve">My mentor said that I did well with these also with high energy and 9 but I need to be better with 3 </t>
  </si>
  <si>
    <t>They think I do well with most but can still improve in certain areas</t>
  </si>
  <si>
    <t>Podcast because it made me develop these on my own</t>
  </si>
  <si>
    <t xml:space="preserve">I believe I have been able to properly apply them and practice them which helped greatly </t>
  </si>
  <si>
    <t>I hope to find things I am 9ate about, be better with change (ambiguity) and persevere through hardship</t>
  </si>
  <si>
    <t>He did not address them</t>
  </si>
  <si>
    <t xml:space="preserve">That they have noticed no change </t>
  </si>
  <si>
    <t xml:space="preserve">None really affected the characteristics or felt like they were geared towards them. </t>
  </si>
  <si>
    <t xml:space="preserve">I haven’t </t>
  </si>
  <si>
    <t>I able to apply new skills into an internship, really show my 9 and working hard toward my goals. Not giving up when things get hard.</t>
  </si>
  <si>
    <t>They shared that have help lead the group and bring everyone together. It really shows my 9 and perseverance in coursework and leading discussions with mentor.</t>
  </si>
  <si>
    <t>Podcast or anything that required meeting with mentor it really pushed me. Help me learn how to communicate and apply my 9 into my learning.</t>
  </si>
  <si>
    <t>Yes, I have grown as I have been able to apply my 9 and relate back to the activities we have done in class.</t>
  </si>
  <si>
    <t>These characteristics are things I try to do every day anyways.</t>
  </si>
  <si>
    <t>He said I demonstrate them well.</t>
  </si>
  <si>
    <t>My mentor said I demonstrate them well.</t>
  </si>
  <si>
    <t>Podcast for sure because I learned so much about my mentor.</t>
  </si>
  <si>
    <t>I learned the ins and outs of an entrepreneur.</t>
  </si>
  <si>
    <t xml:space="preserve">I plan to continue to work on these issues and take them to improve my overall performance </t>
  </si>
  <si>
    <t xml:space="preserve">My mentor said that i did good in the beginning and was the most engaged but slowly back off and that i get intimidated in formal situations. </t>
  </si>
  <si>
    <t xml:space="preserve">They said that i needed to be more confident in myself, and that i stepped back throughout the progress of the podcast </t>
  </si>
  <si>
    <t xml:space="preserve">I would say that the podcast supported my growth the most because of it being out of my comfort zone and really a big step in learning new things </t>
  </si>
  <si>
    <t xml:space="preserve">I have created more of a understanding on the topics and have been inputting them into my lifestyle to help improve </t>
  </si>
  <si>
    <t>Internships</t>
  </si>
  <si>
    <t>Give good ideas</t>
  </si>
  <si>
    <t>Collaborating with students</t>
  </si>
  <si>
    <t xml:space="preserve">I plan to use this in my current and future jobs </t>
  </si>
  <si>
    <t>I would say they thought I was 9ate in what I was doing which also leads into my 6</t>
  </si>
  <si>
    <t>They shared my 6</t>
  </si>
  <si>
    <t>I feel the podcast supported my growth because I had to use all three characteristics in a professional setting</t>
  </si>
  <si>
    <t>I have learned how to be better at problem solving and not being afraid to say what I think or wonder</t>
  </si>
  <si>
    <t>How do you plan to apply these characteristics beyond this course (e.g., in other classes, internships, or professional settings)?</t>
  </si>
  <si>
    <t>What feedback or observations has your mentor shared about how you demonstrate these characteristics? If you did not receive formal feedback from your mentor, please consider any feedback during your interactions as part of this feedback.</t>
  </si>
  <si>
    <t>What feedback or observations have your peers shared about how you demonstrate these characteristics?</t>
  </si>
  <si>
    <t>Which course activity (case study, podcast, or business case presentation) most supported your growth, and why?</t>
  </si>
  <si>
    <t>How have you grown in your selected entrepreneurial characteristics over the course of the semester?</t>
  </si>
  <si>
    <t>Please select what you chose for characteristic 3:</t>
  </si>
  <si>
    <t>Please select what you chose for characteristic 2:</t>
  </si>
  <si>
    <t>Please select what you chose for characteristic 1:</t>
  </si>
  <si>
    <t>Q13</t>
  </si>
  <si>
    <t>Q12</t>
  </si>
  <si>
    <t>Q6</t>
  </si>
  <si>
    <t>Anonymous Code</t>
  </si>
  <si>
    <t>Full Question</t>
  </si>
  <si>
    <t>Variable Name</t>
  </si>
  <si>
    <t xml:space="preserve">How often have you created a podcast or podcast-style presentation as part of a class assignment? </t>
  </si>
  <si>
    <t>How familiar are you with the process of producing a podcast (e.g., recording, editing, uploading)?</t>
  </si>
  <si>
    <t>How often do you intentionally listen to podcasts outside of class (for entertainment, news, or learning)?</t>
  </si>
  <si>
    <t>How do you usually access podcasts? (Select all that apply.)</t>
  </si>
  <si>
    <t>What’s one thing that would help you feel more confident or supported in developing a podcast this semester?</t>
  </si>
  <si>
    <t>How often have you used case-study analysis with a class discussion component as part of an assignment?</t>
  </si>
  <si>
    <t>How often do you speak up or share your views in class discussions in your other courses?</t>
  </si>
  <si>
    <t>What’s one thing that would help you feel more confident or supported in using case-study analysis this semester?</t>
  </si>
  <si>
    <t>How often have you participated in a business case competition (including, for example, a Shark Tank-style event) as part of a class assignment?</t>
  </si>
  <si>
    <t>How often do you present in front of an audience in your other courses?</t>
  </si>
  <si>
    <t>What’s one thing that would help you feel more confident or supported in developing a business case presentation this semester?</t>
  </si>
  <si>
    <t>Have you ever been matched with an industry mentor as part of a class assignment or course project (e.g., someone assigned by an instructor to support your academic or professional learning)?</t>
  </si>
  <si>
    <t>How often do you seek advice or feedback from professionals about your career goals?</t>
  </si>
  <si>
    <t>What’s one thing that would help you feel more confident or supported in working with a mentor this semester? (For example, having the professor send an email introducing me with my mentor, having a discussion guide available to facilitate the initial meeting, having information I can read about each mentor before my initial meeting.)</t>
  </si>
  <si>
    <t>Knowing the podcast assignment will be completed in a group, how do you think that will affect your experience?</t>
  </si>
  <si>
    <t>Please briefly explain your answer.</t>
  </si>
  <si>
    <t>Knowing the business case competition will be completed in a group, how do you think that will affect your experience?</t>
  </si>
  <si>
    <t>Knowing your mentor will be working with you – as well as three other classmates – how do you think that will affect your experience?</t>
  </si>
  <si>
    <t>I expect that creating the podcast will help me think critically about the course content.</t>
  </si>
  <si>
    <t>I believe preparing for the case study discussions will push me to consider different sides of complex business problems.</t>
  </si>
  <si>
    <t>I expect the business case competition will help me apply course concepts to a real-world context.</t>
  </si>
  <si>
    <t>I expect that feedback from my mentor will deepen my understanding of business strategy.</t>
  </si>
  <si>
    <t>I expect to apply what I learn in this course to real-world business decisions.</t>
  </si>
  <si>
    <t>I expect this course will strengthen my ability to analyze agribusiness problems.</t>
  </si>
  <si>
    <t>I expect to contribute consistently to my group’s podcast project.</t>
  </si>
  <si>
    <t>I expect to actively participate in preparing discussions for the case-study assignments.</t>
  </si>
  <si>
    <t>I plan to go above and beyond in developing materials for the business case competition.</t>
  </si>
  <si>
    <t>I expect to engage regularly with my mentor to improve our business idea.</t>
  </si>
  <si>
    <t>I intend to complete the assigned course work with care and attention to detail.</t>
  </si>
  <si>
    <t>I plan to work hard to fully understand the material in this course.</t>
  </si>
  <si>
    <t>I feel a part of my academic department at CSU.</t>
  </si>
  <si>
    <t>I have a good relationship with the other students in my class.</t>
  </si>
  <si>
    <t>I make time for my coursework and assignments, even when balancing out of school commitments (e.g., work, social life, family).</t>
  </si>
  <si>
    <t>I am attentive and actively participate in class.</t>
  </si>
  <si>
    <t>I believe I can succeed at most any endeavor to which I set my mind.</t>
  </si>
  <si>
    <t>Even when I take a course that is challenging, I can perform quite well.</t>
  </si>
  <si>
    <t>People can grow their intelligence through effort and learning.</t>
  </si>
  <si>
    <t>I think that nearly everyone is capable of understanding the topics in this course if they work at it.</t>
  </si>
  <si>
    <t>I think about the principles of entrepreneurship and find them applicable in day-to-day life (e.g., in my own life and decisions, on the news, on social media or the internet).</t>
  </si>
  <si>
    <t>I think entrepreneurship is interesting and applicable to me.</t>
  </si>
  <si>
    <t xml:space="preserve">The work I’m doing now in my coursework will help me succeed in the future. </t>
  </si>
  <si>
    <t>I follow through and successfully complete major goals.</t>
  </si>
  <si>
    <t xml:space="preserve">I have overcome setbacks to conquer an important challenge. </t>
  </si>
  <si>
    <t>A market is a:</t>
  </si>
  <si>
    <t>A smaller organization has three distinct advantages: greater flexibility, communication with the community, and [blank].</t>
  </si>
  <si>
    <t>[Blank] issues can become a problem when there’s more than one founder.</t>
  </si>
  <si>
    <t>[Blank] is a learning process that shapes and converts ideas into form.</t>
  </si>
  <si>
    <t>The business plan provides the details of the potential [blank] of a business.</t>
  </si>
  <si>
    <t>A SWOT analysis refers to:</t>
  </si>
  <si>
    <t>The evaluation of a new-venture idea should start with identifying the [blank] requirements.</t>
  </si>
  <si>
    <t>The purpose of marketing research is to:</t>
  </si>
  <si>
    <t>Venture capitalists often measure the venture based on both the product/service and the [blank].</t>
  </si>
  <si>
    <t>Many entrepreneurs would benefit from marketing research but fail to do so based on perceived [blank].</t>
  </si>
  <si>
    <t>Reviewing example business plans will allow an entrepreneur to gain a much better perspective of the final [blank] that a plan must have.</t>
  </si>
  <si>
    <t>At the end of the semester, where did you expect to fall in terms of your performance compared to others in the class?</t>
  </si>
  <si>
    <t>Select the answer which best describes how you see yourself.</t>
  </si>
  <si>
    <t>Please indicate which you have chosen for characteristic 1:</t>
  </si>
  <si>
    <t>Please indicate which you have chosen for characteristic 2:</t>
  </si>
  <si>
    <t>Please indicate which you have chosen for characteristic 3:</t>
  </si>
  <si>
    <t>Based on what you have chose for characteristic 1, rate yourself on the following dimensions using a 1–5 scale.</t>
  </si>
  <si>
    <t>I feel confident in my ability to act in ways that reflect this characteristic.</t>
  </si>
  <si>
    <t>I often draw on this characteristic in academic, professional, or personal situations.</t>
  </si>
  <si>
    <t>I see this characteristic as one of my current strengths relative to my peers.</t>
  </si>
  <si>
    <t>This characteristic aligns with the mindset I want to develop.</t>
  </si>
  <si>
    <t>I am motivated to strengthen this characteristic over time.</t>
  </si>
  <si>
    <t>How strongly did you experience each of the following emotions while working on the podcasting assignment in this course?</t>
  </si>
  <si>
    <t>Excited</t>
  </si>
  <si>
    <t>Nervous</t>
  </si>
  <si>
    <t>Bored</t>
  </si>
  <si>
    <t>Calm</t>
  </si>
  <si>
    <t>Enthusiastic</t>
  </si>
  <si>
    <t>Anxious</t>
  </si>
  <si>
    <t>Dull</t>
  </si>
  <si>
    <t>Relaxed</t>
  </si>
  <si>
    <t>Elated</t>
  </si>
  <si>
    <t>Overwhelmed</t>
  </si>
  <si>
    <t>Disinterested</t>
  </si>
  <si>
    <t>Content</t>
  </si>
  <si>
    <t>How strongly did you experience each of the following emotions when preparing and leading case-study discussions in this course?</t>
  </si>
  <si>
    <t>How strongly did you experience each of the following emotions while preparing for and participating in the business case presentation?</t>
  </si>
  <si>
    <t xml:space="preserve">How strongly did you experience each of the following emotions while working with a mentor in this course? </t>
  </si>
  <si>
    <t>Please reflect on your level of participation and effort throughout the course. Think about how actively you contributed to group work, discussions, and course-related tasks, both in and out of class. Please answer as honestly as possible—there are no right or wrong answers.</t>
  </si>
  <si>
    <t>I consistently contributed to my group’s podcast project. (Podcasting)</t>
  </si>
  <si>
    <t>I actively participated in preparing discussions for the case-study assignments. (Case Study)</t>
  </si>
  <si>
    <t>I went above and beyond in developing materials for the business case presentation. (Business Case)</t>
  </si>
  <si>
    <t>I engaged regularly with my mentor to improve our business idea. (Mentorship)</t>
  </si>
  <si>
    <t>I completed the assigned course work with care and attention to detail. (General)</t>
  </si>
  <si>
    <t>I worked hard to fully understand the material in this course. (General)</t>
  </si>
  <si>
    <t>Reflect on how much you were challenged to think critically or deeply about the course content. These questions explore your investment in learning and use of strategies to understand complex ideas. Please answer as honestly as possible—there are no right or wrong answers.</t>
  </si>
  <si>
    <t>Creating the podcast helped me think critically about the course content. (Podcasting)</t>
  </si>
  <si>
    <t>Preparing for the case study discussions pushed me to consider different sides of complex business problems. (Case Study)</t>
  </si>
  <si>
    <t>The business case presentation helped me apply course concepts to a real-world context. (Business Case)</t>
  </si>
  <si>
    <t>Feedback from my mentor helped deepen my understanding of business strategy. (Mentorship)</t>
  </si>
  <si>
    <t>I feel capable to apply what I learned in this course to real-world business decisions. (General)</t>
  </si>
  <si>
    <t>This course strengthened my ability to analyze agribusiness problems. (General)</t>
  </si>
  <si>
    <t>We’d like you to reflect on your beliefs and values after completing this course. These questions ask about how the course experience influenced your personal connection to the subject, your views on learning and growth, and the relevance of what you learned to your future goals. Please respond based on how you see yourself now.</t>
  </si>
  <si>
    <t>The work I’m doing now in my coursework will help me succeed in the future.</t>
  </si>
  <si>
    <t>I have overcome setbacks to conquer an important challenge.</t>
  </si>
  <si>
    <t xml:space="preserve">A smaller organization has three distinct advantages: greater flexibility, communication with the community, and [blank]. </t>
  </si>
  <si>
    <t>To what extent are you satisfied with this course?</t>
  </si>
  <si>
    <t xml:space="preserve">Rank the four major course activities from most to least engaging, based on how they felt to you personally. By “engaging,” we mean activities that captured your attention, kept you interested, or made you feel involved. (1 = most engaging, 4 = least engaging) </t>
  </si>
  <si>
    <t>Student-led podcasting (1)</t>
  </si>
  <si>
    <t>Case-based analysis (2)</t>
  </si>
  <si>
    <t>Business case presentation (3)</t>
  </si>
  <si>
    <t>Structured mentorship (4)</t>
  </si>
  <si>
    <t>Why did you select your top-ranked activity as the most engaging?</t>
  </si>
  <si>
    <t>What suggestions do you have for improving student engagement in this course in the future?</t>
  </si>
  <si>
    <t>Rank the course activities based on how much you feel you learned from them. This could include understanding course concepts, developing new skills, or applying ideas in a real-world context. (1 = I gained the most learning, 4 = I gained the least learning)</t>
  </si>
  <si>
    <t>Why did you select your top-ranked activity as the one where you learned the most? In your response, please describe what you learned from this activity. This could include course concepts, new skills, or insights about how to apply your learning in a real-world context.</t>
  </si>
  <si>
    <t>In what ways, if any, have the instructional activities in this course (such as podcasting, case studies, the business case, or mentorship) helped you grow professionally or prepare for future industry interactions?</t>
  </si>
  <si>
    <t>In what ways, if any, have the instructional activities in this course (such as podcasting, case studies, the business case, or mentorship) helped you feel more confident in your abilities?</t>
  </si>
  <si>
    <t>In what ways did group work help or hinder your learning during this course?</t>
  </si>
  <si>
    <t>Describe how your experience might have been different if you had completed this class’s coursework alone.</t>
  </si>
  <si>
    <t>What suggestions do you have for improving group work in this course in the future?</t>
  </si>
  <si>
    <t>How did the feedback you received from your mentor influence your understanding of your strengths, areas for growth, or overall performance in this course? If you did not receive formal feedback from your mentor, please consider any feedback during your interactions as part of this feedback.</t>
  </si>
  <si>
    <t>Now that the semester is over, where do you think your performance falls compared to others in the class?</t>
  </si>
  <si>
    <t>Since the beginning of the semester, how has your expectation about the grade or overall performance you would receive in this class changed, if at all?</t>
  </si>
  <si>
    <t>Question-Details</t>
  </si>
  <si>
    <t>Based on what you have chose for characteristic 2, rate yourself on the following dimensions using a 1–5 scale.</t>
  </si>
  <si>
    <t>Based on what you have chose for characteristic 3, rate yourself on the following dimensions using a 1–5 scale.</t>
  </si>
  <si>
    <t>ID</t>
  </si>
  <si>
    <t>students were able to type in an answer based on a set selection of options provided on a hand out. Created numeric codes to represent each word/ phrase that was mentioned</t>
  </si>
  <si>
    <t>Entrepreneurial Coachability</t>
  </si>
  <si>
    <t>Persistent Problem Solving</t>
  </si>
  <si>
    <t>o Calculated risk taking  (4)</t>
  </si>
  <si>
    <t>o Communication  (5)</t>
  </si>
  <si>
    <t>o Creativity and innovativeness  (6)</t>
  </si>
  <si>
    <t>o Determination and perseverance  (7)</t>
  </si>
  <si>
    <t>o Drive to achieve  (8)</t>
  </si>
  <si>
    <t>o Entrepreneurial coachability  (9)</t>
  </si>
  <si>
    <t>o Opportunity orientation  (10)</t>
  </si>
  <si>
    <t>o Passion  (11)</t>
  </si>
  <si>
    <t>o Persistent problem solving  (12)</t>
  </si>
  <si>
    <t>o Team building  (13)</t>
  </si>
  <si>
    <t>o Tolerance for ambiguity  (19)</t>
  </si>
  <si>
    <t>o Vision  (14)</t>
  </si>
  <si>
    <t>o Seeking feedback  (15)</t>
  </si>
  <si>
    <t>o Personal agency  (16)</t>
  </si>
  <si>
    <t>o Entrepreneurial hustle  (17)</t>
  </si>
  <si>
    <t>o High energy level  (18)</t>
  </si>
  <si>
    <t>Qualtrics Value</t>
  </si>
  <si>
    <t>Data Value-Please confirm</t>
  </si>
  <si>
    <t>Characteristic</t>
  </si>
  <si>
    <t>`</t>
  </si>
  <si>
    <t>Q10_VideoPlatforms</t>
  </si>
  <si>
    <t>no corresponding pre-survey question</t>
  </si>
  <si>
    <t>Reflection</t>
  </si>
  <si>
    <t>Self-Evaluation</t>
  </si>
  <si>
    <t>Knowledge-Assessment</t>
  </si>
  <si>
    <t>Beliefs</t>
  </si>
  <si>
    <t>General</t>
  </si>
  <si>
    <t>Mentor</t>
  </si>
  <si>
    <t>Business-Case</t>
  </si>
  <si>
    <t>Case-Study</t>
  </si>
  <si>
    <t>no corresponding post-survey question</t>
  </si>
  <si>
    <t>Post-Survey_Variable Name</t>
  </si>
  <si>
    <t>Pre-Survey_Variable Name</t>
  </si>
  <si>
    <t>Intervention</t>
  </si>
  <si>
    <t>Personality</t>
  </si>
  <si>
    <t>closest questions from pre-survey: Q29_PodGroupEffect, Q30_PodGroupExplain, Q33_BizGroupEffect, Q34_BizGroupExplain, Q36_MentGroupEffect, Q35_MentGroupExplain</t>
  </si>
  <si>
    <t>closest questions from pre-survey: Q33 &amp; Q34</t>
  </si>
  <si>
    <t>EIDP</t>
  </si>
  <si>
    <t>Q6_characteristic1_selection_num</t>
  </si>
  <si>
    <t>Q8_characteristic2_selection_num</t>
  </si>
  <si>
    <t>Q10_characteristic3_selection_num</t>
  </si>
  <si>
    <t>Q6_num</t>
  </si>
  <si>
    <t>Q8_num</t>
  </si>
  <si>
    <t>Q10_num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</si>
</sst>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sz val="11"/>
      <color rgb="FF000000"/>
      <name val="Aptos Narrow"/>
      <family val="2"/>
      <scheme val="minor"/>
    </font>
    <font>
      <sz val="11"/>
      <color rgb="FF000000"/>
      <name val="Aptos Narrow"/>
      <family val="2"/>
    </font>
    <font>
      <sz val="11"/>
      <color rgb="FF000000"/>
      <name val="Calibri"/>
      <family val="2"/>
    </font>
    <font>
      <b/>
      <sz val="11"/>
      <color theme="1"/>
      <name val="Aptos Narrow"/>
      <family val="2"/>
      <scheme val="minor"/>
    </font>
    <font>
      <b/>
      <sz val="11"/>
      <color theme="1"/>
      <name val="Aptos Narrow"/>
      <scheme val="minor"/>
    </font>
    <font>
      <sz val="11"/>
      <color theme="1"/>
      <name val="Aptos Narrow"/>
      <scheme val="minor"/>
    </font>
    <font>
      <i/>
      <sz val="11"/>
      <color rgb="FFFF0000"/>
      <name val="Aptos Narrow"/>
      <scheme val="minor"/>
    </font>
    <font>
      <sz val="11"/>
      <name val="Aptos Narrow"/>
      <family val="2"/>
      <scheme val="minor"/>
    </font>
    <font>
      <sz val="11"/>
      <name val="Aptos Narrow"/>
      <scheme val="minor"/>
    </font>
    <font>
      <sz val="11"/>
      <color rgb="FF000000"/>
      <name val="Aptos Narrow"/>
      <scheme val="minor"/>
    </font>
    <font>
      <b/>
      <sz val="11"/>
      <name val="Aptos Narrow"/>
      <scheme val="minor"/>
    </font>
    <font>
      <sz val="11"/>
      <color theme="1"/>
      <name val="Aptos Narrow"/>
      <family val="2"/>
      <scheme val="minor"/>
    </font>
    <font>
      <sz val="11"/>
      <color rgb="FFFF0000"/>
      <name val="Aptos Narrow"/>
      <family val="2"/>
      <scheme val="minor"/>
    </font>
    <font>
      <b/>
      <sz val="11"/>
      <color rgb="FF000000"/>
      <name val="Aptos Narrow"/>
      <scheme val="minor"/>
    </font>
    <font>
      <i/>
      <sz val="11"/>
      <color rgb="FFFF0000"/>
      <name val="Aptos Narrow"/>
      <family val="2"/>
      <scheme val="minor"/>
    </font>
    <font>
      <i/>
      <sz val="11"/>
      <color theme="1"/>
      <name val="Aptos Narrow"/>
      <family val="2"/>
      <scheme val="minor"/>
    </font>
    <font>
      <i/>
      <sz val="11"/>
      <color theme="5"/>
      <name val="Aptos Narrow"/>
      <family val="2"/>
      <scheme val="minor"/>
    </font>
    <font>
      <b/>
      <sz val="11"/>
      <color indexed="8"/>
      <name val="Aptos Narrow"/>
      <family val="2"/>
      <scheme val="minor"/>
    </font>
    <font>
      <sz val="11"/>
      <color indexed="8"/>
      <name val="Aptos Narrow"/>
      <family val="2"/>
      <scheme val="minor"/>
    </font>
    <font>
      <sz val="11"/>
      <color rgb="FF000000"/>
      <name val="Aptos Narrow"/>
      <charset val="1"/>
    </font>
    <font>
      <b/>
      <sz val="11"/>
      <color rgb="FF000000"/>
      <name val="Aptos Narrow"/>
      <family val="2"/>
      <scheme val="minor"/>
    </font>
    <font>
      <b/>
      <sz val="11"/>
      <color rgb="FF000000"/>
      <name val="Aptos Narrow"/>
      <family val="2"/>
    </font>
    <font>
      <b/>
      <sz val="11"/>
      <color rgb="FF000000"/>
      <name val="Calibri"/>
      <family val="2"/>
    </font>
    <font>
      <b/>
      <sz val="11"/>
      <color rgb="FFFF0000"/>
      <name val="Calibri"/>
      <family val="2"/>
    </font>
    <font>
      <b/>
      <sz val="11"/>
      <name val="Aptos Narrow"/>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D0D0D0"/>
        <bgColor rgb="FF000000"/>
      </patternFill>
    </fill>
    <fill>
      <patternFill patternType="solid">
        <fgColor theme="2" tint="-9.9978637043366805E-2"/>
        <bgColor indexed="64"/>
      </patternFill>
    </fill>
    <fill>
      <patternFill patternType="solid">
        <fgColor indexed="22"/>
      </patternFill>
    </fill>
  </fills>
  <borders count="1">
    <border>
      <left/>
      <right/>
      <top/>
      <bottom/>
      <diagonal/>
    </border>
  </borders>
  <cellStyleXfs count="2">
    <xf numFmtId="0" fontId="0" fillId="0" borderId="0"/>
    <xf numFmtId="0" fontId="19" fillId="0" borderId="0"/>
  </cellStyleXfs>
  <cellXfs count="61">
    <xf numFmtId="0" fontId="0" fillId="0" borderId="0" xfId="0"/>
    <xf numFmtId="0" fontId="5" fillId="0" borderId="0" xfId="0" applyFont="1"/>
    <xf numFmtId="0" fontId="5" fillId="0" borderId="0" xfId="0" applyFont="1" applyAlignment="1">
      <alignment wrapText="1"/>
    </xf>
    <xf numFmtId="0" fontId="6" fillId="0" borderId="0" xfId="0" applyFont="1"/>
    <xf numFmtId="0" fontId="7" fillId="0" borderId="0" xfId="0" applyFont="1"/>
    <xf numFmtId="0" fontId="8" fillId="0" borderId="0" xfId="0" applyFont="1"/>
    <xf numFmtId="0" fontId="8" fillId="0" borderId="0" xfId="0" applyFont="1" applyAlignment="1">
      <alignment wrapText="1"/>
    </xf>
    <xf numFmtId="0" fontId="6" fillId="0" borderId="0" xfId="0" applyFont="1" applyAlignment="1">
      <alignment wrapText="1"/>
    </xf>
    <xf numFmtId="0" fontId="4" fillId="0" borderId="0" xfId="0" applyFont="1"/>
    <xf numFmtId="0" fontId="4"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4" fillId="0" borderId="0" xfId="0" applyFont="1"/>
    <xf numFmtId="0" fontId="14" fillId="0" borderId="0" xfId="0" applyFont="1" applyAlignment="1">
      <alignment wrapText="1"/>
    </xf>
    <xf numFmtId="0" fontId="1" fillId="0" borderId="0" xfId="0" applyFont="1"/>
    <xf numFmtId="0" fontId="1" fillId="0" borderId="0" xfId="0" applyFont="1" applyAlignment="1">
      <alignment wrapText="1"/>
    </xf>
    <xf numFmtId="0" fontId="15" fillId="0" borderId="0" xfId="0" applyFont="1"/>
    <xf numFmtId="0" fontId="2" fillId="0" borderId="0" xfId="0" applyFont="1" applyAlignment="1">
      <alignment horizontal="right"/>
    </xf>
    <xf numFmtId="0" fontId="3" fillId="0" borderId="0" xfId="0" applyFont="1" applyAlignment="1">
      <alignment horizontal="right"/>
    </xf>
    <xf numFmtId="0" fontId="2" fillId="0" borderId="0" xfId="0" applyFont="1"/>
    <xf numFmtId="0" fontId="0" fillId="0" borderId="0" xfId="0" applyAlignment="1">
      <alignment wrapText="1"/>
    </xf>
    <xf numFmtId="0" fontId="16" fillId="0" borderId="0" xfId="0" applyFont="1" applyAlignment="1">
      <alignment horizontal="center" vertical="top" wrapText="1"/>
    </xf>
    <xf numFmtId="0" fontId="17" fillId="0" borderId="0" xfId="0" applyFont="1"/>
    <xf numFmtId="0" fontId="0" fillId="4" borderId="0" xfId="0" applyFill="1"/>
    <xf numFmtId="0" fontId="18" fillId="4" borderId="0" xfId="0" applyFont="1" applyFill="1" applyAlignment="1">
      <alignment vertical="top"/>
    </xf>
    <xf numFmtId="0" fontId="18" fillId="4" borderId="0" xfId="0" applyFont="1" applyFill="1"/>
    <xf numFmtId="49" fontId="0" fillId="0" borderId="0" xfId="0" applyNumberFormat="1"/>
    <xf numFmtId="0" fontId="19" fillId="0" borderId="0" xfId="1"/>
    <xf numFmtId="0" fontId="2" fillId="0" borderId="0" xfId="1" applyFont="1"/>
    <xf numFmtId="0" fontId="18" fillId="0" borderId="0" xfId="1" applyFont="1"/>
    <xf numFmtId="0" fontId="19" fillId="5" borderId="0" xfId="1" applyFill="1"/>
    <xf numFmtId="49" fontId="19" fillId="0" borderId="0" xfId="1" applyNumberFormat="1"/>
    <xf numFmtId="0" fontId="20" fillId="0" borderId="0" xfId="1" applyFont="1"/>
    <xf numFmtId="0" fontId="0" fillId="0" borderId="0" xfId="0" applyAlignment="1">
      <alignment horizontal="right"/>
    </xf>
    <xf numFmtId="0" fontId="0" fillId="0" borderId="0" xfId="0" applyAlignment="1">
      <alignment vertical="top"/>
    </xf>
    <xf numFmtId="0" fontId="18" fillId="2" borderId="0" xfId="0" applyFont="1" applyFill="1"/>
    <xf numFmtId="0" fontId="21" fillId="2" borderId="0" xfId="0" applyFont="1" applyFill="1" applyAlignment="1">
      <alignment vertical="top"/>
    </xf>
    <xf numFmtId="0" fontId="19" fillId="0" borderId="0" xfId="0" applyFont="1"/>
    <xf numFmtId="49" fontId="19" fillId="0" borderId="0" xfId="0" applyNumberFormat="1" applyFont="1" applyAlignment="1">
      <alignment vertical="top"/>
    </xf>
    <xf numFmtId="0" fontId="19" fillId="0" borderId="0" xfId="0" applyFont="1" applyAlignment="1">
      <alignment horizontal="right"/>
    </xf>
    <xf numFmtId="0" fontId="1" fillId="0" borderId="0" xfId="0" applyFont="1" applyAlignment="1">
      <alignment horizontal="right"/>
    </xf>
    <xf numFmtId="0" fontId="1" fillId="0" borderId="0" xfId="0" applyFont="1" applyAlignment="1">
      <alignment horizontal="right" wrapText="1"/>
    </xf>
    <xf numFmtId="0" fontId="1" fillId="3" borderId="0" xfId="0" applyFont="1" applyFill="1"/>
    <xf numFmtId="0" fontId="23" fillId="3" borderId="0" xfId="0" applyFont="1" applyFill="1"/>
    <xf numFmtId="0" fontId="24" fillId="3" borderId="0" xfId="0" applyFont="1" applyFill="1"/>
    <xf numFmtId="0" fontId="18" fillId="0" borderId="0" xfId="1" applyFont="1" applyAlignment="1">
      <alignment horizontal="center"/>
    </xf>
    <xf numFmtId="0" fontId="19" fillId="0" borderId="0" xfId="1" applyAlignment="1">
      <alignment horizontal="center"/>
    </xf>
    <xf numFmtId="0" fontId="12" fillId="0" borderId="0" xfId="0" applyFont="1"/>
    <xf numFmtId="0" fontId="12" fillId="0" borderId="0" xfId="0" applyFont="1" applyAlignment="1">
      <alignment wrapText="1"/>
    </xf>
    <xf numFmtId="0" fontId="12" fillId="0" borderId="0" xfId="0" applyFont="1" applyAlignment="1">
      <alignment horizontal="right"/>
    </xf>
    <xf numFmtId="0" fontId="12" fillId="0" borderId="0" xfId="0" applyFont="1" applyAlignment="1">
      <alignment horizontal="left"/>
    </xf>
    <xf numFmtId="0" fontId="13" fillId="0" borderId="0" xfId="0" applyFont="1"/>
    <xf numFmtId="0" fontId="25" fillId="0" borderId="0" xfId="0" applyFont="1" applyAlignment="1">
      <alignment wrapText="1"/>
    </xf>
    <xf numFmtId="0" fontId="22" fillId="2" borderId="0" xfId="0" applyFont="1" applyFill="1"/>
    <xf numFmtId="0" fontId="23" fillId="2" borderId="0" xfId="0" applyFont="1" applyFill="1"/>
    <xf numFmtId="0" fontId="0" fillId="2" borderId="0" xfId="0" applyFill="1"/>
    <xf numFmtId="49" fontId="0" fillId="0" borderId="0" xfId="0" applyNumberFormat="1" applyAlignment="1">
      <alignment vertical="top"/>
    </xf>
    <xf numFmtId="0" fontId="4" fillId="0" borderId="0" xfId="0" applyFont="1" applyAlignment="1">
      <alignment vertical="top"/>
    </xf>
    <xf numFmtId="0" fontId="16" fillId="0" borderId="0" xfId="0" applyFont="1" applyAlignment="1">
      <alignment horizontal="left" vertical="top" wrapText="1"/>
    </xf>
    <xf numFmtId="0" fontId="19" fillId="0" borderId="0" xfId="0" applyNumberFormat="1" applyFont="1" applyAlignment="1">
      <alignment horizontal="right"/>
    </xf>
  </cellXfs>
  <cellStyles count="2">
    <cellStyle name="Normal" xfId="0" builtinId="0"/>
    <cellStyle name="Normal 2" xfId="1" xr:uid="{67035992-E1E0-442F-A0E1-3C4921BB9C5D}"/>
  </cellStyles>
  <dxfs count="36">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D48B9-3912-4276-B87D-4BF3A25E141D}">
  <sheetPr>
    <tabColor rgb="FF92D050"/>
  </sheetPr>
  <dimension ref="A1:G134"/>
  <sheetViews>
    <sheetView tabSelected="1" topLeftCell="A67" zoomScale="70" zoomScaleNormal="70" workbookViewId="0">
      <selection activeCell="B126" sqref="B126"/>
    </sheetView>
  </sheetViews>
  <sheetFormatPr defaultColWidth="14.28515625" defaultRowHeight="15"/>
  <cols>
    <col min="1" max="1" width="24.85546875" bestFit="1" customWidth="1"/>
    <col min="2" max="2" width="37.42578125" customWidth="1"/>
    <col min="3" max="3" width="34" customWidth="1"/>
    <col min="4" max="4" width="54.28515625" customWidth="1"/>
  </cols>
  <sheetData>
    <row r="1" spans="1:7">
      <c r="A1" s="8" t="s">
        <v>1356</v>
      </c>
      <c r="B1" s="58" t="s">
        <v>1355</v>
      </c>
      <c r="C1" s="58" t="s">
        <v>1197</v>
      </c>
      <c r="D1" s="58" t="s">
        <v>1316</v>
      </c>
      <c r="E1" s="58" t="s">
        <v>1354</v>
      </c>
      <c r="F1" s="58" t="s">
        <v>1197</v>
      </c>
      <c r="G1" s="58" t="s">
        <v>1316</v>
      </c>
    </row>
    <row r="2" spans="1:7">
      <c r="A2" t="s">
        <v>1050</v>
      </c>
      <c r="B2" s="35" t="s">
        <v>251</v>
      </c>
      <c r="C2" s="35" t="s">
        <v>1199</v>
      </c>
      <c r="D2" s="35"/>
      <c r="E2" s="35" t="s">
        <v>1353</v>
      </c>
    </row>
    <row r="3" spans="1:7">
      <c r="A3" t="s">
        <v>1050</v>
      </c>
      <c r="B3" s="35" t="s">
        <v>252</v>
      </c>
      <c r="C3" s="35" t="s">
        <v>1200</v>
      </c>
      <c r="D3" s="35"/>
      <c r="E3" s="35" t="s">
        <v>1353</v>
      </c>
    </row>
    <row r="4" spans="1:7">
      <c r="A4" t="s">
        <v>1050</v>
      </c>
      <c r="B4" s="35" t="s">
        <v>253</v>
      </c>
      <c r="C4" s="35" t="s">
        <v>1201</v>
      </c>
      <c r="D4" s="35"/>
      <c r="E4" s="35" t="s">
        <v>1353</v>
      </c>
    </row>
    <row r="5" spans="1:7">
      <c r="A5" t="s">
        <v>1050</v>
      </c>
      <c r="B5" s="35" t="s">
        <v>484</v>
      </c>
      <c r="C5" s="35" t="s">
        <v>1202</v>
      </c>
      <c r="D5" s="35"/>
      <c r="E5" s="35" t="s">
        <v>1353</v>
      </c>
    </row>
    <row r="6" spans="1:7">
      <c r="A6" t="s">
        <v>1050</v>
      </c>
      <c r="B6" s="35" t="s">
        <v>0</v>
      </c>
      <c r="C6" s="35" t="s">
        <v>1203</v>
      </c>
      <c r="D6" s="35"/>
      <c r="E6" s="35" t="s">
        <v>1353</v>
      </c>
    </row>
    <row r="7" spans="1:7">
      <c r="A7" t="s">
        <v>1352</v>
      </c>
      <c r="B7" s="35" t="s">
        <v>258</v>
      </c>
      <c r="C7" s="35" t="s">
        <v>1204</v>
      </c>
      <c r="D7" s="35"/>
      <c r="E7" s="35" t="s">
        <v>1353</v>
      </c>
    </row>
    <row r="8" spans="1:7">
      <c r="A8" t="s">
        <v>1352</v>
      </c>
      <c r="B8" s="35" t="s">
        <v>259</v>
      </c>
      <c r="C8" s="35" t="s">
        <v>1205</v>
      </c>
      <c r="D8" s="35"/>
      <c r="E8" s="35" t="s">
        <v>1353</v>
      </c>
    </row>
    <row r="9" spans="1:7">
      <c r="A9" t="s">
        <v>1352</v>
      </c>
      <c r="B9" s="35" t="s">
        <v>1</v>
      </c>
      <c r="C9" s="35" t="s">
        <v>1206</v>
      </c>
      <c r="D9" s="35"/>
      <c r="E9" s="35" t="s">
        <v>1353</v>
      </c>
    </row>
    <row r="10" spans="1:7">
      <c r="A10" t="s">
        <v>1351</v>
      </c>
      <c r="B10" s="35" t="s">
        <v>260</v>
      </c>
      <c r="C10" s="35" t="s">
        <v>1207</v>
      </c>
      <c r="D10" s="35"/>
      <c r="E10" s="35" t="s">
        <v>1353</v>
      </c>
    </row>
    <row r="11" spans="1:7">
      <c r="A11" t="s">
        <v>1351</v>
      </c>
      <c r="B11" s="35" t="s">
        <v>261</v>
      </c>
      <c r="C11" s="35" t="s">
        <v>1208</v>
      </c>
      <c r="D11" s="35"/>
      <c r="E11" s="35" t="s">
        <v>1353</v>
      </c>
    </row>
    <row r="12" spans="1:7">
      <c r="A12" t="s">
        <v>1351</v>
      </c>
      <c r="B12" s="35" t="s">
        <v>2</v>
      </c>
      <c r="C12" s="35" t="s">
        <v>1209</v>
      </c>
      <c r="D12" s="35"/>
      <c r="E12" s="35" t="s">
        <v>1353</v>
      </c>
    </row>
    <row r="13" spans="1:7">
      <c r="A13" t="s">
        <v>1350</v>
      </c>
      <c r="B13" s="35" t="s">
        <v>262</v>
      </c>
      <c r="C13" s="35" t="s">
        <v>1210</v>
      </c>
      <c r="D13" s="35"/>
      <c r="E13" s="35" t="s">
        <v>1353</v>
      </c>
    </row>
    <row r="14" spans="1:7">
      <c r="A14" t="s">
        <v>1350</v>
      </c>
      <c r="B14" s="35" t="s">
        <v>263</v>
      </c>
      <c r="C14" s="35" t="s">
        <v>1211</v>
      </c>
      <c r="D14" s="35"/>
      <c r="E14" s="35" t="s">
        <v>1353</v>
      </c>
    </row>
    <row r="15" spans="1:7">
      <c r="A15" t="s">
        <v>1350</v>
      </c>
      <c r="B15" s="35" t="s">
        <v>3</v>
      </c>
      <c r="C15" s="35" t="s">
        <v>1212</v>
      </c>
      <c r="D15" s="35"/>
      <c r="E15" s="35" t="s">
        <v>1353</v>
      </c>
    </row>
    <row r="16" spans="1:7">
      <c r="A16" t="s">
        <v>1050</v>
      </c>
      <c r="B16" s="35" t="s">
        <v>264</v>
      </c>
      <c r="C16" s="35" t="str">
        <f t="shared" ref="C16:C27" si="0">"How strongly do you expect to feel each of the following emotions while working on the podcasting assignment in this course? - "&amp;RIGHT(B16,LEN(B16)-(FIND("_",B16,8)))</f>
        <v>How strongly do you expect to feel each of the following emotions while working on the podcasting assignment in this course? - Excited</v>
      </c>
      <c r="D16" t="s">
        <v>1265</v>
      </c>
      <c r="E16" t="s">
        <v>1033</v>
      </c>
      <c r="F16" t="s">
        <v>1264</v>
      </c>
      <c r="G16" t="s">
        <v>1265</v>
      </c>
    </row>
    <row r="17" spans="1:7">
      <c r="A17" t="s">
        <v>1050</v>
      </c>
      <c r="B17" s="35" t="s">
        <v>265</v>
      </c>
      <c r="C17" s="35" t="str">
        <f t="shared" si="0"/>
        <v>How strongly do you expect to feel each of the following emotions while working on the podcasting assignment in this course? - Nervous</v>
      </c>
      <c r="D17" t="s">
        <v>1266</v>
      </c>
      <c r="E17" t="s">
        <v>1032</v>
      </c>
      <c r="F17" t="s">
        <v>1264</v>
      </c>
      <c r="G17" t="s">
        <v>1266</v>
      </c>
    </row>
    <row r="18" spans="1:7">
      <c r="A18" t="s">
        <v>1050</v>
      </c>
      <c r="B18" s="35" t="s">
        <v>266</v>
      </c>
      <c r="C18" s="35" t="str">
        <f t="shared" si="0"/>
        <v>How strongly do you expect to feel each of the following emotions while working on the podcasting assignment in this course? - Bored</v>
      </c>
      <c r="D18" t="s">
        <v>1267</v>
      </c>
      <c r="E18" t="s">
        <v>1031</v>
      </c>
      <c r="F18" t="s">
        <v>1264</v>
      </c>
      <c r="G18" t="s">
        <v>1267</v>
      </c>
    </row>
    <row r="19" spans="1:7">
      <c r="A19" t="s">
        <v>1050</v>
      </c>
      <c r="B19" s="35" t="s">
        <v>267</v>
      </c>
      <c r="C19" s="35" t="str">
        <f t="shared" si="0"/>
        <v>How strongly do you expect to feel each of the following emotions while working on the podcasting assignment in this course? - Calm</v>
      </c>
      <c r="D19" t="s">
        <v>1268</v>
      </c>
      <c r="E19" t="s">
        <v>1030</v>
      </c>
      <c r="F19" t="s">
        <v>1264</v>
      </c>
      <c r="G19" t="s">
        <v>1268</v>
      </c>
    </row>
    <row r="20" spans="1:7">
      <c r="A20" t="s">
        <v>1050</v>
      </c>
      <c r="B20" s="35" t="s">
        <v>268</v>
      </c>
      <c r="C20" s="35" t="str">
        <f t="shared" si="0"/>
        <v>How strongly do you expect to feel each of the following emotions while working on the podcasting assignment in this course? - Enthused</v>
      </c>
      <c r="D20" t="s">
        <v>1269</v>
      </c>
      <c r="E20" t="s">
        <v>1029</v>
      </c>
      <c r="F20" t="s">
        <v>1264</v>
      </c>
      <c r="G20" t="s">
        <v>1269</v>
      </c>
    </row>
    <row r="21" spans="1:7">
      <c r="A21" t="s">
        <v>1050</v>
      </c>
      <c r="B21" s="35" t="s">
        <v>269</v>
      </c>
      <c r="C21" s="35" t="str">
        <f t="shared" si="0"/>
        <v>How strongly do you expect to feel each of the following emotions while working on the podcasting assignment in this course? - Anxious</v>
      </c>
      <c r="D21" t="s">
        <v>1270</v>
      </c>
      <c r="E21" t="s">
        <v>1028</v>
      </c>
      <c r="F21" t="s">
        <v>1264</v>
      </c>
      <c r="G21" t="s">
        <v>1270</v>
      </c>
    </row>
    <row r="22" spans="1:7">
      <c r="A22" t="s">
        <v>1050</v>
      </c>
      <c r="B22" s="35" t="s">
        <v>270</v>
      </c>
      <c r="C22" s="35" t="str">
        <f t="shared" si="0"/>
        <v>How strongly do you expect to feel each of the following emotions while working on the podcasting assignment in this course? - Dull</v>
      </c>
      <c r="D22" t="s">
        <v>1271</v>
      </c>
      <c r="E22" t="s">
        <v>1027</v>
      </c>
      <c r="F22" t="s">
        <v>1264</v>
      </c>
      <c r="G22" t="s">
        <v>1271</v>
      </c>
    </row>
    <row r="23" spans="1:7">
      <c r="A23" t="s">
        <v>1050</v>
      </c>
      <c r="B23" s="35" t="s">
        <v>271</v>
      </c>
      <c r="C23" s="35" t="str">
        <f t="shared" si="0"/>
        <v>How strongly do you expect to feel each of the following emotions while working on the podcasting assignment in this course? - Relaxed</v>
      </c>
      <c r="D23" t="s">
        <v>1272</v>
      </c>
      <c r="E23" t="s">
        <v>1026</v>
      </c>
      <c r="F23" t="s">
        <v>1264</v>
      </c>
      <c r="G23" t="s">
        <v>1272</v>
      </c>
    </row>
    <row r="24" spans="1:7">
      <c r="A24" t="s">
        <v>1050</v>
      </c>
      <c r="B24" s="35" t="s">
        <v>272</v>
      </c>
      <c r="C24" s="35" t="str">
        <f t="shared" si="0"/>
        <v>How strongly do you expect to feel each of the following emotions while working on the podcasting assignment in this course? - Elated</v>
      </c>
      <c r="D24" t="s">
        <v>1273</v>
      </c>
      <c r="E24" t="s">
        <v>1025</v>
      </c>
      <c r="F24" t="s">
        <v>1264</v>
      </c>
      <c r="G24" t="s">
        <v>1273</v>
      </c>
    </row>
    <row r="25" spans="1:7">
      <c r="A25" t="s">
        <v>1050</v>
      </c>
      <c r="B25" s="35" t="s">
        <v>273</v>
      </c>
      <c r="C25" s="35" t="str">
        <f t="shared" si="0"/>
        <v>How strongly do you expect to feel each of the following emotions while working on the podcasting assignment in this course? - Overwhelmed</v>
      </c>
      <c r="D25" t="s">
        <v>1274</v>
      </c>
      <c r="E25" t="s">
        <v>1024</v>
      </c>
      <c r="F25" t="s">
        <v>1264</v>
      </c>
      <c r="G25" t="s">
        <v>1274</v>
      </c>
    </row>
    <row r="26" spans="1:7">
      <c r="A26" t="s">
        <v>1050</v>
      </c>
      <c r="B26" s="35" t="s">
        <v>274</v>
      </c>
      <c r="C26" s="35" t="str">
        <f t="shared" si="0"/>
        <v>How strongly do you expect to feel each of the following emotions while working on the podcasting assignment in this course? - Disinterest</v>
      </c>
      <c r="D26" t="s">
        <v>1275</v>
      </c>
      <c r="E26" t="s">
        <v>1023</v>
      </c>
      <c r="F26" t="s">
        <v>1264</v>
      </c>
      <c r="G26" t="s">
        <v>1275</v>
      </c>
    </row>
    <row r="27" spans="1:7">
      <c r="A27" t="s">
        <v>1050</v>
      </c>
      <c r="B27" s="35" t="s">
        <v>275</v>
      </c>
      <c r="C27" s="35" t="str">
        <f t="shared" si="0"/>
        <v>How strongly do you expect to feel each of the following emotions while working on the podcasting assignment in this course? - Content</v>
      </c>
      <c r="D27" t="s">
        <v>1276</v>
      </c>
      <c r="E27" t="s">
        <v>1022</v>
      </c>
      <c r="F27" t="s">
        <v>1264</v>
      </c>
      <c r="G27" t="s">
        <v>1276</v>
      </c>
    </row>
    <row r="28" spans="1:7">
      <c r="A28" t="s">
        <v>1050</v>
      </c>
      <c r="B28" s="35" t="s">
        <v>276</v>
      </c>
      <c r="C28" s="35" t="s">
        <v>1213</v>
      </c>
      <c r="D28" s="35"/>
      <c r="E28" s="35" t="s">
        <v>1359</v>
      </c>
    </row>
    <row r="29" spans="1:7">
      <c r="A29" t="s">
        <v>1050</v>
      </c>
      <c r="B29" s="35" t="s">
        <v>4</v>
      </c>
      <c r="C29" s="35" t="s">
        <v>1214</v>
      </c>
      <c r="D29" s="35"/>
      <c r="E29" s="35" t="s">
        <v>1359</v>
      </c>
    </row>
    <row r="30" spans="1:7">
      <c r="A30" t="s">
        <v>1352</v>
      </c>
      <c r="B30" s="35" t="s">
        <v>277</v>
      </c>
      <c r="C30" s="35" t="str">
        <f t="shared" ref="C30:C41" si="1">"How strongly do you expect to feel each of the following emotions when preparing and leading case-study discussions in this course? - "&amp;RIGHT(B30,LEN(B30)-(FIND("_",B30,8)))</f>
        <v>How strongly do you expect to feel each of the following emotions when preparing and leading case-study discussions in this course? - Excited</v>
      </c>
      <c r="D30" t="s">
        <v>1265</v>
      </c>
      <c r="E30" t="s">
        <v>1021</v>
      </c>
      <c r="F30" t="s">
        <v>1277</v>
      </c>
      <c r="G30" t="s">
        <v>1265</v>
      </c>
    </row>
    <row r="31" spans="1:7">
      <c r="A31" t="s">
        <v>1352</v>
      </c>
      <c r="B31" s="35" t="s">
        <v>278</v>
      </c>
      <c r="C31" s="35" t="str">
        <f t="shared" si="1"/>
        <v>How strongly do you expect to feel each of the following emotions when preparing and leading case-study discussions in this course? - Nervous</v>
      </c>
      <c r="D31" t="s">
        <v>1266</v>
      </c>
      <c r="E31" t="s">
        <v>1020</v>
      </c>
      <c r="F31" t="s">
        <v>1277</v>
      </c>
      <c r="G31" t="s">
        <v>1266</v>
      </c>
    </row>
    <row r="32" spans="1:7">
      <c r="A32" t="s">
        <v>1352</v>
      </c>
      <c r="B32" s="35" t="s">
        <v>279</v>
      </c>
      <c r="C32" s="35" t="str">
        <f t="shared" si="1"/>
        <v>How strongly do you expect to feel each of the following emotions when preparing and leading case-study discussions in this course? - Bored</v>
      </c>
      <c r="D32" t="s">
        <v>1267</v>
      </c>
      <c r="E32" t="s">
        <v>1019</v>
      </c>
      <c r="F32" t="s">
        <v>1277</v>
      </c>
      <c r="G32" t="s">
        <v>1267</v>
      </c>
    </row>
    <row r="33" spans="1:7">
      <c r="A33" t="s">
        <v>1352</v>
      </c>
      <c r="B33" s="35" t="s">
        <v>280</v>
      </c>
      <c r="C33" s="35" t="str">
        <f t="shared" si="1"/>
        <v>How strongly do you expect to feel each of the following emotions when preparing and leading case-study discussions in this course? - Calm</v>
      </c>
      <c r="D33" t="s">
        <v>1268</v>
      </c>
      <c r="E33" t="s">
        <v>1018</v>
      </c>
      <c r="F33" t="s">
        <v>1277</v>
      </c>
      <c r="G33" t="s">
        <v>1268</v>
      </c>
    </row>
    <row r="34" spans="1:7">
      <c r="A34" t="s">
        <v>1352</v>
      </c>
      <c r="B34" s="35" t="s">
        <v>281</v>
      </c>
      <c r="C34" s="35" t="str">
        <f t="shared" si="1"/>
        <v>How strongly do you expect to feel each of the following emotions when preparing and leading case-study discussions in this course? - Enthused</v>
      </c>
      <c r="D34" t="s">
        <v>1269</v>
      </c>
      <c r="E34" t="s">
        <v>1017</v>
      </c>
      <c r="F34" t="s">
        <v>1277</v>
      </c>
      <c r="G34" t="s">
        <v>1269</v>
      </c>
    </row>
    <row r="35" spans="1:7">
      <c r="A35" t="s">
        <v>1352</v>
      </c>
      <c r="B35" s="35" t="s">
        <v>282</v>
      </c>
      <c r="C35" s="35" t="str">
        <f t="shared" si="1"/>
        <v>How strongly do you expect to feel each of the following emotions when preparing and leading case-study discussions in this course? - Anxious</v>
      </c>
      <c r="D35" t="s">
        <v>1270</v>
      </c>
      <c r="E35" t="s">
        <v>1016</v>
      </c>
      <c r="F35" t="s">
        <v>1277</v>
      </c>
      <c r="G35" t="s">
        <v>1270</v>
      </c>
    </row>
    <row r="36" spans="1:7">
      <c r="A36" t="s">
        <v>1352</v>
      </c>
      <c r="B36" s="35" t="s">
        <v>283</v>
      </c>
      <c r="C36" s="35" t="str">
        <f t="shared" si="1"/>
        <v>How strongly do you expect to feel each of the following emotions when preparing and leading case-study discussions in this course? - Dull</v>
      </c>
      <c r="D36" t="s">
        <v>1271</v>
      </c>
      <c r="E36" t="s">
        <v>1015</v>
      </c>
      <c r="F36" t="s">
        <v>1277</v>
      </c>
      <c r="G36" t="s">
        <v>1271</v>
      </c>
    </row>
    <row r="37" spans="1:7">
      <c r="A37" t="s">
        <v>1352</v>
      </c>
      <c r="B37" s="35" t="s">
        <v>284</v>
      </c>
      <c r="C37" s="35" t="str">
        <f t="shared" si="1"/>
        <v>How strongly do you expect to feel each of the following emotions when preparing and leading case-study discussions in this course? - Relaxed</v>
      </c>
      <c r="D37" t="s">
        <v>1272</v>
      </c>
      <c r="E37" t="s">
        <v>1014</v>
      </c>
      <c r="F37" t="s">
        <v>1277</v>
      </c>
      <c r="G37" t="s">
        <v>1272</v>
      </c>
    </row>
    <row r="38" spans="1:7">
      <c r="A38" t="s">
        <v>1352</v>
      </c>
      <c r="B38" s="35" t="s">
        <v>285</v>
      </c>
      <c r="C38" s="35" t="str">
        <f t="shared" si="1"/>
        <v>How strongly do you expect to feel each of the following emotions when preparing and leading case-study discussions in this course? - Elated</v>
      </c>
      <c r="D38" t="s">
        <v>1273</v>
      </c>
      <c r="E38" t="s">
        <v>1013</v>
      </c>
      <c r="F38" t="s">
        <v>1277</v>
      </c>
      <c r="G38" t="s">
        <v>1273</v>
      </c>
    </row>
    <row r="39" spans="1:7">
      <c r="A39" t="s">
        <v>1352</v>
      </c>
      <c r="B39" s="35" t="s">
        <v>286</v>
      </c>
      <c r="C39" s="35" t="str">
        <f t="shared" si="1"/>
        <v>How strongly do you expect to feel each of the following emotions when preparing and leading case-study discussions in this course? - Overwhelmed</v>
      </c>
      <c r="D39" t="s">
        <v>1274</v>
      </c>
      <c r="E39" t="s">
        <v>1012</v>
      </c>
      <c r="F39" t="s">
        <v>1277</v>
      </c>
      <c r="G39" t="s">
        <v>1274</v>
      </c>
    </row>
    <row r="40" spans="1:7">
      <c r="A40" t="s">
        <v>1352</v>
      </c>
      <c r="B40" s="35" t="s">
        <v>287</v>
      </c>
      <c r="C40" s="35" t="str">
        <f t="shared" si="1"/>
        <v>How strongly do you expect to feel each of the following emotions when preparing and leading case-study discussions in this course? - Disinterest</v>
      </c>
      <c r="D40" t="s">
        <v>1275</v>
      </c>
      <c r="E40" t="s">
        <v>1011</v>
      </c>
      <c r="F40" t="s">
        <v>1277</v>
      </c>
      <c r="G40" t="s">
        <v>1275</v>
      </c>
    </row>
    <row r="41" spans="1:7">
      <c r="A41" t="s">
        <v>1352</v>
      </c>
      <c r="B41" s="35" t="s">
        <v>288</v>
      </c>
      <c r="C41" s="35" t="str">
        <f t="shared" si="1"/>
        <v>How strongly do you expect to feel each of the following emotions when preparing and leading case-study discussions in this course? - Content</v>
      </c>
      <c r="D41" t="s">
        <v>1276</v>
      </c>
      <c r="E41" t="s">
        <v>1010</v>
      </c>
      <c r="F41" t="s">
        <v>1277</v>
      </c>
      <c r="G41" t="s">
        <v>1276</v>
      </c>
    </row>
    <row r="42" spans="1:7">
      <c r="A42" t="s">
        <v>1351</v>
      </c>
      <c r="B42" s="35" t="s">
        <v>289</v>
      </c>
      <c r="C42" s="35" t="str">
        <f t="shared" ref="C42:C53" si="2">"How strongly do you expect to feel each of the following emotions while preparing for and participating in the business case competition? - "&amp;RIGHT(B42,LEN(B42)-(FIND("_",B42,8)))</f>
        <v>How strongly do you expect to feel each of the following emotions while preparing for and participating in the business case competition? - Excited</v>
      </c>
      <c r="D42" t="s">
        <v>1265</v>
      </c>
      <c r="E42" t="s">
        <v>1009</v>
      </c>
      <c r="F42" t="s">
        <v>1278</v>
      </c>
      <c r="G42" t="s">
        <v>1265</v>
      </c>
    </row>
    <row r="43" spans="1:7">
      <c r="A43" t="s">
        <v>1351</v>
      </c>
      <c r="B43" s="35" t="s">
        <v>290</v>
      </c>
      <c r="C43" s="35" t="str">
        <f t="shared" si="2"/>
        <v>How strongly do you expect to feel each of the following emotions while preparing for and participating in the business case competition? - Nervous</v>
      </c>
      <c r="D43" t="s">
        <v>1266</v>
      </c>
      <c r="E43" t="s">
        <v>1008</v>
      </c>
      <c r="F43" t="s">
        <v>1278</v>
      </c>
      <c r="G43" t="s">
        <v>1266</v>
      </c>
    </row>
    <row r="44" spans="1:7">
      <c r="A44" t="s">
        <v>1351</v>
      </c>
      <c r="B44" s="35" t="s">
        <v>291</v>
      </c>
      <c r="C44" s="35" t="str">
        <f t="shared" si="2"/>
        <v>How strongly do you expect to feel each of the following emotions while preparing for and participating in the business case competition? - Bored</v>
      </c>
      <c r="D44" t="s">
        <v>1267</v>
      </c>
      <c r="E44" t="s">
        <v>1007</v>
      </c>
      <c r="F44" t="s">
        <v>1278</v>
      </c>
      <c r="G44" t="s">
        <v>1267</v>
      </c>
    </row>
    <row r="45" spans="1:7">
      <c r="A45" t="s">
        <v>1351</v>
      </c>
      <c r="B45" s="35" t="s">
        <v>292</v>
      </c>
      <c r="C45" s="35" t="str">
        <f t="shared" si="2"/>
        <v>How strongly do you expect to feel each of the following emotions while preparing for and participating in the business case competition? - Calm</v>
      </c>
      <c r="D45" t="s">
        <v>1268</v>
      </c>
      <c r="E45" t="s">
        <v>1006</v>
      </c>
      <c r="F45" t="s">
        <v>1278</v>
      </c>
      <c r="G45" t="s">
        <v>1268</v>
      </c>
    </row>
    <row r="46" spans="1:7">
      <c r="A46" t="s">
        <v>1351</v>
      </c>
      <c r="B46" s="35" t="s">
        <v>293</v>
      </c>
      <c r="C46" s="35" t="str">
        <f t="shared" si="2"/>
        <v>How strongly do you expect to feel each of the following emotions while preparing for and participating in the business case competition? - Enthused</v>
      </c>
      <c r="D46" t="s">
        <v>1269</v>
      </c>
      <c r="E46" t="s">
        <v>1005</v>
      </c>
      <c r="F46" t="s">
        <v>1278</v>
      </c>
      <c r="G46" t="s">
        <v>1269</v>
      </c>
    </row>
    <row r="47" spans="1:7">
      <c r="A47" t="s">
        <v>1351</v>
      </c>
      <c r="B47" s="35" t="s">
        <v>294</v>
      </c>
      <c r="C47" s="35" t="str">
        <f t="shared" si="2"/>
        <v>How strongly do you expect to feel each of the following emotions while preparing for and participating in the business case competition? - Anxious</v>
      </c>
      <c r="D47" t="s">
        <v>1270</v>
      </c>
      <c r="E47" t="s">
        <v>1004</v>
      </c>
      <c r="F47" t="s">
        <v>1278</v>
      </c>
      <c r="G47" t="s">
        <v>1270</v>
      </c>
    </row>
    <row r="48" spans="1:7">
      <c r="A48" t="s">
        <v>1351</v>
      </c>
      <c r="B48" s="35" t="s">
        <v>295</v>
      </c>
      <c r="C48" s="35" t="str">
        <f t="shared" si="2"/>
        <v>How strongly do you expect to feel each of the following emotions while preparing for and participating in the business case competition? - Dull</v>
      </c>
      <c r="D48" t="s">
        <v>1271</v>
      </c>
      <c r="E48" t="s">
        <v>1003</v>
      </c>
      <c r="F48" t="s">
        <v>1278</v>
      </c>
      <c r="G48" t="s">
        <v>1271</v>
      </c>
    </row>
    <row r="49" spans="1:7">
      <c r="A49" t="s">
        <v>1351</v>
      </c>
      <c r="B49" s="35" t="s">
        <v>296</v>
      </c>
      <c r="C49" s="35" t="str">
        <f t="shared" si="2"/>
        <v>How strongly do you expect to feel each of the following emotions while preparing for and participating in the business case competition? - Relaxed</v>
      </c>
      <c r="D49" t="s">
        <v>1272</v>
      </c>
      <c r="E49" t="s">
        <v>1002</v>
      </c>
      <c r="F49" t="s">
        <v>1278</v>
      </c>
      <c r="G49" t="s">
        <v>1272</v>
      </c>
    </row>
    <row r="50" spans="1:7">
      <c r="A50" t="s">
        <v>1351</v>
      </c>
      <c r="B50" s="35" t="s">
        <v>297</v>
      </c>
      <c r="C50" s="35" t="str">
        <f t="shared" si="2"/>
        <v>How strongly do you expect to feel each of the following emotions while preparing for and participating in the business case competition? - Elated</v>
      </c>
      <c r="D50" t="s">
        <v>1273</v>
      </c>
      <c r="E50" t="s">
        <v>1001</v>
      </c>
      <c r="F50" t="s">
        <v>1278</v>
      </c>
      <c r="G50" t="s">
        <v>1273</v>
      </c>
    </row>
    <row r="51" spans="1:7">
      <c r="A51" t="s">
        <v>1351</v>
      </c>
      <c r="B51" s="35" t="s">
        <v>298</v>
      </c>
      <c r="C51" s="35" t="str">
        <f t="shared" si="2"/>
        <v>How strongly do you expect to feel each of the following emotions while preparing for and participating in the business case competition? - Overwhelmed</v>
      </c>
      <c r="D51" t="s">
        <v>1274</v>
      </c>
      <c r="E51" t="s">
        <v>1000</v>
      </c>
      <c r="F51" t="s">
        <v>1278</v>
      </c>
      <c r="G51" t="s">
        <v>1274</v>
      </c>
    </row>
    <row r="52" spans="1:7">
      <c r="A52" t="s">
        <v>1351</v>
      </c>
      <c r="B52" s="35" t="s">
        <v>299</v>
      </c>
      <c r="C52" s="35" t="str">
        <f t="shared" si="2"/>
        <v>How strongly do you expect to feel each of the following emotions while preparing for and participating in the business case competition? - Disinterest</v>
      </c>
      <c r="D52" t="s">
        <v>1275</v>
      </c>
      <c r="E52" t="s">
        <v>999</v>
      </c>
      <c r="F52" t="s">
        <v>1278</v>
      </c>
      <c r="G52" t="s">
        <v>1275</v>
      </c>
    </row>
    <row r="53" spans="1:7">
      <c r="A53" t="s">
        <v>1351</v>
      </c>
      <c r="B53" s="35" t="s">
        <v>300</v>
      </c>
      <c r="C53" s="35" t="str">
        <f t="shared" si="2"/>
        <v>How strongly do you expect to feel each of the following emotions while preparing for and participating in the business case competition? - Content</v>
      </c>
      <c r="D53" t="s">
        <v>1276</v>
      </c>
      <c r="E53" t="s">
        <v>998</v>
      </c>
      <c r="F53" t="s">
        <v>1278</v>
      </c>
      <c r="G53" t="s">
        <v>1276</v>
      </c>
    </row>
    <row r="54" spans="1:7">
      <c r="A54" t="s">
        <v>1351</v>
      </c>
      <c r="B54" s="35" t="s">
        <v>301</v>
      </c>
      <c r="C54" s="35" t="s">
        <v>1215</v>
      </c>
      <c r="D54" s="35"/>
      <c r="E54" s="35" t="s">
        <v>1359</v>
      </c>
    </row>
    <row r="55" spans="1:7">
      <c r="A55" t="s">
        <v>1351</v>
      </c>
      <c r="B55" s="35" t="s">
        <v>5</v>
      </c>
      <c r="C55" s="35" t="s">
        <v>1214</v>
      </c>
      <c r="D55" s="35"/>
      <c r="E55" s="35" t="s">
        <v>1359</v>
      </c>
    </row>
    <row r="56" spans="1:7">
      <c r="A56" t="s">
        <v>1350</v>
      </c>
      <c r="B56" s="35" t="s">
        <v>302</v>
      </c>
      <c r="C56" s="35" t="str">
        <f t="shared" ref="C56:C67" si="3">"How strongly do you expect to feel each of the following emotions while working with a mentor in this course? - "&amp;RIGHT(B56,LEN(B56)-(FIND("_",B56,8)))</f>
        <v>How strongly do you expect to feel each of the following emotions while working with a mentor in this course? - Excited</v>
      </c>
      <c r="D56" s="35"/>
      <c r="E56" t="s">
        <v>997</v>
      </c>
      <c r="F56" t="s">
        <v>1279</v>
      </c>
      <c r="G56" t="s">
        <v>1265</v>
      </c>
    </row>
    <row r="57" spans="1:7">
      <c r="A57" t="s">
        <v>1350</v>
      </c>
      <c r="B57" s="35" t="s">
        <v>303</v>
      </c>
      <c r="C57" s="35" t="str">
        <f t="shared" si="3"/>
        <v>How strongly do you expect to feel each of the following emotions while working with a mentor in this course? - Nervous</v>
      </c>
      <c r="D57" s="35"/>
      <c r="E57" t="s">
        <v>996</v>
      </c>
      <c r="F57" t="s">
        <v>1279</v>
      </c>
      <c r="G57" t="s">
        <v>1266</v>
      </c>
    </row>
    <row r="58" spans="1:7">
      <c r="A58" t="s">
        <v>1350</v>
      </c>
      <c r="B58" s="35" t="s">
        <v>304</v>
      </c>
      <c r="C58" s="35" t="str">
        <f t="shared" si="3"/>
        <v>How strongly do you expect to feel each of the following emotions while working with a mentor in this course? - Bored</v>
      </c>
      <c r="D58" s="35"/>
      <c r="E58" t="s">
        <v>995</v>
      </c>
      <c r="F58" t="s">
        <v>1279</v>
      </c>
      <c r="G58" t="s">
        <v>1267</v>
      </c>
    </row>
    <row r="59" spans="1:7">
      <c r="A59" t="s">
        <v>1350</v>
      </c>
      <c r="B59" s="35" t="s">
        <v>305</v>
      </c>
      <c r="C59" s="35" t="str">
        <f t="shared" si="3"/>
        <v>How strongly do you expect to feel each of the following emotions while working with a mentor in this course? - Calm</v>
      </c>
      <c r="D59" s="35"/>
      <c r="E59" t="s">
        <v>994</v>
      </c>
      <c r="F59" t="s">
        <v>1279</v>
      </c>
      <c r="G59" t="s">
        <v>1268</v>
      </c>
    </row>
    <row r="60" spans="1:7">
      <c r="A60" t="s">
        <v>1350</v>
      </c>
      <c r="B60" s="35" t="s">
        <v>306</v>
      </c>
      <c r="C60" s="35" t="str">
        <f t="shared" si="3"/>
        <v>How strongly do you expect to feel each of the following emotions while working with a mentor in this course? - Enthused</v>
      </c>
      <c r="D60" s="35"/>
      <c r="E60" t="s">
        <v>993</v>
      </c>
      <c r="F60" t="s">
        <v>1279</v>
      </c>
      <c r="G60" t="s">
        <v>1269</v>
      </c>
    </row>
    <row r="61" spans="1:7">
      <c r="A61" t="s">
        <v>1350</v>
      </c>
      <c r="B61" s="35" t="s">
        <v>307</v>
      </c>
      <c r="C61" s="35" t="str">
        <f t="shared" si="3"/>
        <v>How strongly do you expect to feel each of the following emotions while working with a mentor in this course? - Anxious</v>
      </c>
      <c r="D61" s="35"/>
      <c r="E61" t="s">
        <v>992</v>
      </c>
      <c r="F61" t="s">
        <v>1279</v>
      </c>
      <c r="G61" t="s">
        <v>1270</v>
      </c>
    </row>
    <row r="62" spans="1:7">
      <c r="A62" t="s">
        <v>1350</v>
      </c>
      <c r="B62" s="35" t="s">
        <v>308</v>
      </c>
      <c r="C62" s="35" t="str">
        <f t="shared" si="3"/>
        <v>How strongly do you expect to feel each of the following emotions while working with a mentor in this course? - Dull</v>
      </c>
      <c r="D62" s="35"/>
      <c r="E62" t="s">
        <v>991</v>
      </c>
      <c r="F62" t="s">
        <v>1279</v>
      </c>
      <c r="G62" t="s">
        <v>1271</v>
      </c>
    </row>
    <row r="63" spans="1:7">
      <c r="A63" t="s">
        <v>1350</v>
      </c>
      <c r="B63" s="35" t="s">
        <v>309</v>
      </c>
      <c r="C63" s="35" t="str">
        <f t="shared" si="3"/>
        <v>How strongly do you expect to feel each of the following emotions while working with a mentor in this course? - Relaxed</v>
      </c>
      <c r="D63" s="35"/>
      <c r="E63" t="s">
        <v>990</v>
      </c>
      <c r="F63" t="s">
        <v>1279</v>
      </c>
      <c r="G63" t="s">
        <v>1272</v>
      </c>
    </row>
    <row r="64" spans="1:7">
      <c r="A64" t="s">
        <v>1350</v>
      </c>
      <c r="B64" s="35" t="s">
        <v>310</v>
      </c>
      <c r="C64" s="35" t="str">
        <f t="shared" si="3"/>
        <v>How strongly do you expect to feel each of the following emotions while working with a mentor in this course? - Elated</v>
      </c>
      <c r="D64" s="35"/>
      <c r="E64" t="s">
        <v>989</v>
      </c>
      <c r="F64" t="s">
        <v>1279</v>
      </c>
      <c r="G64" t="s">
        <v>1273</v>
      </c>
    </row>
    <row r="65" spans="1:7">
      <c r="A65" t="s">
        <v>1350</v>
      </c>
      <c r="B65" s="35" t="s">
        <v>311</v>
      </c>
      <c r="C65" s="35" t="str">
        <f t="shared" si="3"/>
        <v>How strongly do you expect to feel each of the following emotions while working with a mentor in this course? - Overwhelmed</v>
      </c>
      <c r="D65" s="35"/>
      <c r="E65" t="s">
        <v>988</v>
      </c>
      <c r="F65" t="s">
        <v>1279</v>
      </c>
      <c r="G65" t="s">
        <v>1274</v>
      </c>
    </row>
    <row r="66" spans="1:7">
      <c r="A66" t="s">
        <v>1350</v>
      </c>
      <c r="B66" s="35" t="s">
        <v>312</v>
      </c>
      <c r="C66" s="35" t="str">
        <f t="shared" si="3"/>
        <v>How strongly do you expect to feel each of the following emotions while working with a mentor in this course? - Disinterest</v>
      </c>
      <c r="D66" s="35"/>
      <c r="E66" t="s">
        <v>987</v>
      </c>
      <c r="F66" t="s">
        <v>1279</v>
      </c>
      <c r="G66" t="s">
        <v>1275</v>
      </c>
    </row>
    <row r="67" spans="1:7">
      <c r="A67" t="s">
        <v>1350</v>
      </c>
      <c r="B67" s="35" t="s">
        <v>313</v>
      </c>
      <c r="C67" s="35" t="str">
        <f t="shared" si="3"/>
        <v>How strongly do you expect to feel each of the following emotions while working with a mentor in this course? - Content</v>
      </c>
      <c r="D67" s="35"/>
      <c r="E67" t="s">
        <v>986</v>
      </c>
      <c r="F67" t="s">
        <v>1279</v>
      </c>
      <c r="G67" t="s">
        <v>1276</v>
      </c>
    </row>
    <row r="68" spans="1:7">
      <c r="A68" t="s">
        <v>1350</v>
      </c>
      <c r="B68" s="35" t="s">
        <v>314</v>
      </c>
      <c r="C68" s="35" t="s">
        <v>1216</v>
      </c>
      <c r="D68" s="35"/>
      <c r="E68" s="35" t="s">
        <v>1359</v>
      </c>
    </row>
    <row r="69" spans="1:7">
      <c r="A69" t="s">
        <v>1350</v>
      </c>
      <c r="B69" s="35" t="s">
        <v>6</v>
      </c>
      <c r="C69" s="35" t="s">
        <v>1214</v>
      </c>
      <c r="D69" s="35"/>
      <c r="E69" s="35" t="s">
        <v>1359</v>
      </c>
    </row>
    <row r="70" spans="1:7">
      <c r="A70" t="s">
        <v>1050</v>
      </c>
      <c r="B70" s="35" t="s">
        <v>315</v>
      </c>
      <c r="C70" s="35" t="str">
        <f t="shared" ref="C70:C75" si="4">"Think about how actively you anticipate contributing to group work, class discussions, and other course-related activities, both in and out of class.  Please answer as honestly as possible—there are no right or wrong answers. - "&amp;RIGHT(B70,LEN(B70)-(FIND("_",B70,8)))</f>
        <v>Think about how actively you anticipate contributing to group work, class discussions, and other course-related activities, both in and out of class.  Please answer as honestly as possible—there are no right or wrong answers. - Podcast</v>
      </c>
      <c r="D70" s="35" t="s">
        <v>1223</v>
      </c>
      <c r="E70" t="s">
        <v>985</v>
      </c>
      <c r="F70" t="s">
        <v>1280</v>
      </c>
      <c r="G70" t="s">
        <v>1281</v>
      </c>
    </row>
    <row r="71" spans="1:7">
      <c r="A71" t="s">
        <v>1352</v>
      </c>
      <c r="B71" s="35" t="s">
        <v>316</v>
      </c>
      <c r="C71" s="35" t="str">
        <f t="shared" si="4"/>
        <v>Think about how actively you anticipate contributing to group work, class discussions, and other course-related activities, both in and out of class.  Please answer as honestly as possible—there are no right or wrong answers. - CaseStudy</v>
      </c>
      <c r="D71" s="35" t="s">
        <v>1224</v>
      </c>
      <c r="E71" t="s">
        <v>984</v>
      </c>
      <c r="F71" t="s">
        <v>1280</v>
      </c>
      <c r="G71" t="s">
        <v>1282</v>
      </c>
    </row>
    <row r="72" spans="1:7">
      <c r="A72" t="s">
        <v>1351</v>
      </c>
      <c r="B72" s="35" t="s">
        <v>317</v>
      </c>
      <c r="C72" s="35" t="str">
        <f t="shared" si="4"/>
        <v>Think about how actively you anticipate contributing to group work, class discussions, and other course-related activities, both in and out of class.  Please answer as honestly as possible—there are no right or wrong answers. - BizCase</v>
      </c>
      <c r="D72" s="35" t="s">
        <v>1225</v>
      </c>
      <c r="E72" t="s">
        <v>983</v>
      </c>
      <c r="F72" t="s">
        <v>1280</v>
      </c>
      <c r="G72" t="s">
        <v>1283</v>
      </c>
    </row>
    <row r="73" spans="1:7">
      <c r="A73" t="s">
        <v>1350</v>
      </c>
      <c r="B73" s="35" t="s">
        <v>318</v>
      </c>
      <c r="C73" s="35" t="str">
        <f t="shared" si="4"/>
        <v>Think about how actively you anticipate contributing to group work, class discussions, and other course-related activities, both in and out of class.  Please answer as honestly as possible—there are no right or wrong answers. - Mentor</v>
      </c>
      <c r="D73" s="35" t="s">
        <v>1226</v>
      </c>
      <c r="E73" t="s">
        <v>982</v>
      </c>
      <c r="F73" t="s">
        <v>1280</v>
      </c>
      <c r="G73" t="s">
        <v>1284</v>
      </c>
    </row>
    <row r="74" spans="1:7">
      <c r="A74" t="s">
        <v>1349</v>
      </c>
      <c r="B74" s="35" t="s">
        <v>319</v>
      </c>
      <c r="C74" s="35" t="str">
        <f t="shared" si="4"/>
        <v>Think about how actively you anticipate contributing to group work, class discussions, and other course-related activities, both in and out of class.  Please answer as honestly as possible—there are no right or wrong answers. - Coursework</v>
      </c>
      <c r="D74" s="35" t="s">
        <v>1227</v>
      </c>
      <c r="E74" t="s">
        <v>981</v>
      </c>
      <c r="F74" t="s">
        <v>1280</v>
      </c>
      <c r="G74" t="s">
        <v>1285</v>
      </c>
    </row>
    <row r="75" spans="1:7">
      <c r="A75" t="s">
        <v>1349</v>
      </c>
      <c r="B75" s="35" t="s">
        <v>320</v>
      </c>
      <c r="C75" s="35" t="str">
        <f t="shared" si="4"/>
        <v>Think about how actively you anticipate contributing to group work, class discussions, and other course-related activities, both in and out of class.  Please answer as honestly as possible—there are no right or wrong answers. - Learn</v>
      </c>
      <c r="D75" s="35" t="s">
        <v>1228</v>
      </c>
      <c r="E75" t="s">
        <v>980</v>
      </c>
      <c r="F75" t="s">
        <v>1280</v>
      </c>
      <c r="G75" t="s">
        <v>1286</v>
      </c>
    </row>
    <row r="76" spans="1:7">
      <c r="A76" t="s">
        <v>1050</v>
      </c>
      <c r="B76" s="35" t="s">
        <v>321</v>
      </c>
      <c r="C76" s="35" t="str">
        <f t="shared" ref="C76:C81" si="5">"The following statements focus on how much you expect to engage with complex or real-world issues throughout the course. Please answer as honestly as possible—there are no right or wrong answers. - "&amp;RIGHT(B76,LEN(B76)-(FIND("_",B76,8)))</f>
        <v>The following statements focus on how much you expect to engage with complex or real-world issues throughout the course. Please answer as honestly as possible—there are no right or wrong answers. - PodcastCrit</v>
      </c>
      <c r="D76" s="35" t="s">
        <v>1217</v>
      </c>
      <c r="E76" t="s">
        <v>979</v>
      </c>
      <c r="F76" t="s">
        <v>1287</v>
      </c>
      <c r="G76" t="s">
        <v>1288</v>
      </c>
    </row>
    <row r="77" spans="1:7">
      <c r="A77" t="s">
        <v>1352</v>
      </c>
      <c r="B77" s="35" t="s">
        <v>322</v>
      </c>
      <c r="C77" s="35" t="str">
        <f t="shared" si="5"/>
        <v>The following statements focus on how much you expect to engage with complex or real-world issues throughout the course. Please answer as honestly as possible—there are no right or wrong answers. - CaseStudySides</v>
      </c>
      <c r="D77" s="35" t="s">
        <v>1218</v>
      </c>
      <c r="E77" t="s">
        <v>978</v>
      </c>
      <c r="F77" t="s">
        <v>1287</v>
      </c>
      <c r="G77" t="s">
        <v>1289</v>
      </c>
    </row>
    <row r="78" spans="1:7">
      <c r="A78" t="s">
        <v>1351</v>
      </c>
      <c r="B78" s="35" t="s">
        <v>323</v>
      </c>
      <c r="C78" s="35" t="str">
        <f t="shared" si="5"/>
        <v>The following statements focus on how much you expect to engage with complex or real-world issues throughout the course. Please answer as honestly as possible—there are no right or wrong answers. - BizRealWorld</v>
      </c>
      <c r="D78" s="35" t="s">
        <v>1219</v>
      </c>
      <c r="E78" t="s">
        <v>977</v>
      </c>
      <c r="F78" t="s">
        <v>1287</v>
      </c>
      <c r="G78" t="s">
        <v>1290</v>
      </c>
    </row>
    <row r="79" spans="1:7">
      <c r="A79" t="s">
        <v>1350</v>
      </c>
      <c r="B79" s="35" t="s">
        <v>324</v>
      </c>
      <c r="C79" s="35" t="str">
        <f t="shared" si="5"/>
        <v>The following statements focus on how much you expect to engage with complex or real-world issues throughout the course. Please answer as honestly as possible—there are no right or wrong answers. - MentorFeedback</v>
      </c>
      <c r="D79" s="35" t="s">
        <v>1220</v>
      </c>
      <c r="E79" t="s">
        <v>976</v>
      </c>
      <c r="F79" t="s">
        <v>1287</v>
      </c>
      <c r="G79" t="s">
        <v>1291</v>
      </c>
    </row>
    <row r="80" spans="1:7">
      <c r="A80" t="s">
        <v>1349</v>
      </c>
      <c r="B80" s="35" t="s">
        <v>325</v>
      </c>
      <c r="C80" s="35" t="str">
        <f t="shared" si="5"/>
        <v>The following statements focus on how much you expect to engage with complex or real-world issues throughout the course. Please answer as honestly as possible—there are no right or wrong answers. - ApplyDecisions</v>
      </c>
      <c r="D80" s="35" t="s">
        <v>1221</v>
      </c>
      <c r="E80" t="s">
        <v>975</v>
      </c>
      <c r="F80" t="s">
        <v>1287</v>
      </c>
      <c r="G80" t="s">
        <v>1292</v>
      </c>
    </row>
    <row r="81" spans="1:7">
      <c r="A81" t="s">
        <v>1349</v>
      </c>
      <c r="B81" s="35" t="s">
        <v>326</v>
      </c>
      <c r="C81" s="35" t="str">
        <f t="shared" si="5"/>
        <v>The following statements focus on how much you expect to engage with complex or real-world issues throughout the course. Please answer as honestly as possible—there are no right or wrong answers. - AnalyzeAgBiz</v>
      </c>
      <c r="D81" s="35" t="s">
        <v>1222</v>
      </c>
      <c r="E81" t="s">
        <v>974</v>
      </c>
      <c r="F81" t="s">
        <v>1287</v>
      </c>
      <c r="G81" t="s">
        <v>1293</v>
      </c>
    </row>
    <row r="82" spans="1:7">
      <c r="A82" t="s">
        <v>1348</v>
      </c>
      <c r="B82" s="35" t="s">
        <v>327</v>
      </c>
      <c r="C82" s="35" t="str">
        <f>_xlfn._LONGTEXT("Consider your current your beliefs and values as you enter the course. These questions ask about how you see yourself as a learner and professional, how you relate to the goals of this course, and how willing you are to face challenges when learning somet","hing new or difficult. - ")&amp;RIGHT(B82,LEN(B82)-(FIND("_",B82,8)))</f>
        <v>Consider your current your beliefs and values as you enter the course. These questions ask about how you see yourself as a learner and professional, how you relate to the goals of this course, and how willing you are to face challenges when learning something new or difficult. - Dept</v>
      </c>
      <c r="D82" s="35" t="s">
        <v>1229</v>
      </c>
      <c r="E82" t="s">
        <v>973</v>
      </c>
      <c r="F82" t="s">
        <v>1294</v>
      </c>
      <c r="G82" t="s">
        <v>1229</v>
      </c>
    </row>
    <row r="83" spans="1:7">
      <c r="A83" t="s">
        <v>1348</v>
      </c>
      <c r="B83" s="35" t="s">
        <v>328</v>
      </c>
      <c r="C83" s="35" t="str">
        <f>_xlfn._LONGTEXT("Consider your current your beliefs and values as you enter the course. These questions ask about how you see yourself as a learner and professional, how you relate to the goals of this course, and how willing you are to face challenges when learning somet","hing new or difficult. - ")&amp;RIGHT(B83,LEN(B83)-(FIND("_",B83,8)))</f>
        <v>Consider your current your beliefs and values as you enter the course. These questions ask about how you see yourself as a learner and professional, how you relate to the goals of this course, and how willing you are to face challenges when learning something new or difficult. - Class</v>
      </c>
      <c r="D83" s="35" t="s">
        <v>1230</v>
      </c>
      <c r="E83" t="s">
        <v>972</v>
      </c>
      <c r="F83" t="s">
        <v>1294</v>
      </c>
      <c r="G83" t="s">
        <v>1230</v>
      </c>
    </row>
    <row r="84" spans="1:7">
      <c r="A84" t="s">
        <v>1348</v>
      </c>
      <c r="B84" s="35" t="s">
        <v>329</v>
      </c>
      <c r="C84" s="35" t="str">
        <f t="shared" ref="C84:C94" si="6">_xlfn._LONGTEXT("Consider your current your beliefs and values as you enter the course. These questions ask about how you see yourself as a learner and professional, how you relate to the goals of this course, and how willing you are to face challenges when learning somet","hing new or difficult. - ")&amp;RIGHT(B84,LEN(B84)-(FIND("_",B84,5)))</f>
        <v>Consider your current your beliefs and values as you enter the course. These questions ask about how you see yourself as a learner and professional, how you relate to the goals of this course, and how willing you are to face challenges when learning something new or difficult. - TimeMgmt</v>
      </c>
      <c r="D84" s="35" t="s">
        <v>1231</v>
      </c>
      <c r="E84" t="s">
        <v>971</v>
      </c>
      <c r="F84" t="s">
        <v>1294</v>
      </c>
      <c r="G84" t="s">
        <v>1231</v>
      </c>
    </row>
    <row r="85" spans="1:7">
      <c r="A85" t="s">
        <v>1348</v>
      </c>
      <c r="B85" s="35" t="s">
        <v>330</v>
      </c>
      <c r="C85" s="35" t="str">
        <f t="shared" si="6"/>
        <v>Consider your current your beliefs and values as you enter the course. These questions ask about how you see yourself as a learner and professional, how you relate to the goals of this course, and how willing you are to face challenges when learning something new or difficult. - ClassParticipate</v>
      </c>
      <c r="D85" s="35" t="s">
        <v>1232</v>
      </c>
      <c r="E85" t="s">
        <v>970</v>
      </c>
      <c r="F85" t="s">
        <v>1294</v>
      </c>
      <c r="G85" t="s">
        <v>1232</v>
      </c>
    </row>
    <row r="86" spans="1:7">
      <c r="A86" t="s">
        <v>1348</v>
      </c>
      <c r="B86" s="35" t="s">
        <v>331</v>
      </c>
      <c r="C86" s="35" t="str">
        <f t="shared" si="6"/>
        <v>Consider your current your beliefs and values as you enter the course. These questions ask about how you see yourself as a learner and professional, how you relate to the goals of this course, and how willing you are to face challenges when learning something new or difficult. - SelfEfficacy</v>
      </c>
      <c r="D86" s="35" t="s">
        <v>1233</v>
      </c>
      <c r="E86" t="s">
        <v>969</v>
      </c>
      <c r="F86" t="s">
        <v>1294</v>
      </c>
      <c r="G86" t="s">
        <v>1233</v>
      </c>
    </row>
    <row r="87" spans="1:7">
      <c r="A87" t="s">
        <v>1348</v>
      </c>
      <c r="B87" s="35" t="s">
        <v>332</v>
      </c>
      <c r="C87" s="35" t="str">
        <f t="shared" si="6"/>
        <v>Consider your current your beliefs and values as you enter the course. These questions ask about how you see yourself as a learner and professional, how you relate to the goals of this course, and how willing you are to face challenges when learning something new or difficult. - HandleChallenge</v>
      </c>
      <c r="D87" s="35" t="s">
        <v>1234</v>
      </c>
      <c r="E87" t="s">
        <v>968</v>
      </c>
      <c r="F87" t="s">
        <v>1294</v>
      </c>
      <c r="G87" t="s">
        <v>1234</v>
      </c>
    </row>
    <row r="88" spans="1:7">
      <c r="A88" t="s">
        <v>1348</v>
      </c>
      <c r="B88" s="35" t="s">
        <v>333</v>
      </c>
      <c r="C88" s="35" t="str">
        <f t="shared" si="6"/>
        <v>Consider your current your beliefs and values as you enter the course. These questions ask about how you see yourself as a learner and professional, how you relate to the goals of this course, and how willing you are to face challenges when learning something new or difficult. - GrowthMindset</v>
      </c>
      <c r="D88" s="35" t="s">
        <v>1235</v>
      </c>
      <c r="E88" t="s">
        <v>967</v>
      </c>
      <c r="F88" t="s">
        <v>1294</v>
      </c>
      <c r="G88" t="s">
        <v>1235</v>
      </c>
    </row>
    <row r="89" spans="1:7">
      <c r="A89" t="s">
        <v>1348</v>
      </c>
      <c r="B89" s="35" t="s">
        <v>334</v>
      </c>
      <c r="C89" s="35" t="str">
        <f t="shared" si="6"/>
        <v>Consider your current your beliefs and values as you enter the course. These questions ask about how you see yourself as a learner and professional, how you relate to the goals of this course, and how willing you are to face challenges when learning something new or difficult. - CapableUnderstanding</v>
      </c>
      <c r="D89" s="35" t="s">
        <v>1236</v>
      </c>
      <c r="E89" t="s">
        <v>966</v>
      </c>
      <c r="F89" t="s">
        <v>1294</v>
      </c>
      <c r="G89" t="s">
        <v>1236</v>
      </c>
    </row>
    <row r="90" spans="1:7">
      <c r="A90" t="s">
        <v>1348</v>
      </c>
      <c r="B90" s="35" t="s">
        <v>335</v>
      </c>
      <c r="C90" s="35" t="str">
        <f t="shared" si="6"/>
        <v>Consider your current your beliefs and values as you enter the course. These questions ask about how you see yourself as a learner and professional, how you relate to the goals of this course, and how willing you are to face challenges when learning something new or difficult. - EntreDailyLife</v>
      </c>
      <c r="D90" s="35" t="s">
        <v>1237</v>
      </c>
      <c r="E90" t="s">
        <v>965</v>
      </c>
      <c r="F90" t="s">
        <v>1294</v>
      </c>
      <c r="G90" t="s">
        <v>1237</v>
      </c>
    </row>
    <row r="91" spans="1:7">
      <c r="A91" t="s">
        <v>1348</v>
      </c>
      <c r="B91" s="35" t="s">
        <v>336</v>
      </c>
      <c r="C91" s="35" t="str">
        <f t="shared" si="6"/>
        <v>Consider your current your beliefs and values as you enter the course. These questions ask about how you see yourself as a learner and professional, how you relate to the goals of this course, and how willing you are to face challenges when learning something new or difficult. - EntreInterest</v>
      </c>
      <c r="D91" s="35" t="s">
        <v>1238</v>
      </c>
      <c r="E91" t="s">
        <v>964</v>
      </c>
      <c r="F91" t="s">
        <v>1294</v>
      </c>
      <c r="G91" t="s">
        <v>1238</v>
      </c>
    </row>
    <row r="92" spans="1:7">
      <c r="A92" t="s">
        <v>1348</v>
      </c>
      <c r="B92" s="35" t="s">
        <v>337</v>
      </c>
      <c r="C92" s="35" t="str">
        <f t="shared" si="6"/>
        <v>Consider your current your beliefs and values as you enter the course. These questions ask about how you see yourself as a learner and professional, how you relate to the goals of this course, and how willing you are to face challenges when learning something new or difficult. - CourseHelpsFuture</v>
      </c>
      <c r="D92" s="35" t="s">
        <v>1239</v>
      </c>
      <c r="E92" t="s">
        <v>963</v>
      </c>
      <c r="F92" t="s">
        <v>1294</v>
      </c>
      <c r="G92" t="s">
        <v>1295</v>
      </c>
    </row>
    <row r="93" spans="1:7">
      <c r="A93" t="s">
        <v>1348</v>
      </c>
      <c r="B93" s="35" t="s">
        <v>338</v>
      </c>
      <c r="C93" s="35" t="str">
        <f t="shared" si="6"/>
        <v>Consider your current your beliefs and values as you enter the course. These questions ask about how you see yourself as a learner and professional, how you relate to the goals of this course, and how willing you are to face challenges when learning something new or difficult. - GoalCompletion</v>
      </c>
      <c r="D93" s="35" t="s">
        <v>1240</v>
      </c>
      <c r="E93" t="s">
        <v>962</v>
      </c>
      <c r="F93" t="s">
        <v>1294</v>
      </c>
      <c r="G93" t="s">
        <v>1240</v>
      </c>
    </row>
    <row r="94" spans="1:7">
      <c r="A94" t="s">
        <v>1348</v>
      </c>
      <c r="B94" s="35" t="s">
        <v>339</v>
      </c>
      <c r="C94" s="35" t="str">
        <f t="shared" si="6"/>
        <v>Consider your current your beliefs and values as you enter the course. These questions ask about how you see yourself as a learner and professional, how you relate to the goals of this course, and how willing you are to face challenges when learning something new or difficult. - OvercameSetbacks</v>
      </c>
      <c r="D94" s="35" t="s">
        <v>1241</v>
      </c>
      <c r="E94" t="s">
        <v>961</v>
      </c>
      <c r="F94" t="s">
        <v>1294</v>
      </c>
      <c r="G94" t="s">
        <v>1296</v>
      </c>
    </row>
    <row r="95" spans="1:7">
      <c r="A95" t="s">
        <v>1347</v>
      </c>
      <c r="B95" s="35" t="s">
        <v>340</v>
      </c>
      <c r="C95" s="35" t="s">
        <v>1242</v>
      </c>
      <c r="D95" s="35"/>
      <c r="E95" t="s">
        <v>568</v>
      </c>
      <c r="F95" t="s">
        <v>1242</v>
      </c>
    </row>
    <row r="96" spans="1:7">
      <c r="A96" t="s">
        <v>1347</v>
      </c>
      <c r="B96" s="35" t="s">
        <v>341</v>
      </c>
      <c r="C96" s="35" t="s">
        <v>1243</v>
      </c>
      <c r="D96" s="35"/>
      <c r="E96" t="s">
        <v>567</v>
      </c>
      <c r="F96" t="s">
        <v>1297</v>
      </c>
    </row>
    <row r="97" spans="1:6">
      <c r="A97" t="s">
        <v>1347</v>
      </c>
      <c r="B97" s="35" t="s">
        <v>342</v>
      </c>
      <c r="C97" s="35" t="s">
        <v>1244</v>
      </c>
      <c r="D97" s="35"/>
      <c r="E97" t="s">
        <v>566</v>
      </c>
      <c r="F97" t="s">
        <v>1244</v>
      </c>
    </row>
    <row r="98" spans="1:6">
      <c r="A98" t="s">
        <v>1347</v>
      </c>
      <c r="B98" s="35" t="s">
        <v>343</v>
      </c>
      <c r="C98" s="35" t="s">
        <v>1245</v>
      </c>
      <c r="D98" s="35"/>
      <c r="E98" t="s">
        <v>565</v>
      </c>
      <c r="F98" t="s">
        <v>1245</v>
      </c>
    </row>
    <row r="99" spans="1:6">
      <c r="A99" t="s">
        <v>1347</v>
      </c>
      <c r="B99" s="35" t="s">
        <v>344</v>
      </c>
      <c r="C99" s="35" t="s">
        <v>1246</v>
      </c>
      <c r="D99" s="35"/>
      <c r="E99" t="s">
        <v>564</v>
      </c>
      <c r="F99" t="s">
        <v>1246</v>
      </c>
    </row>
    <row r="100" spans="1:6">
      <c r="A100" t="s">
        <v>1347</v>
      </c>
      <c r="B100" s="35" t="s">
        <v>345</v>
      </c>
      <c r="C100" s="35" t="s">
        <v>1247</v>
      </c>
      <c r="D100" s="35"/>
      <c r="E100" t="s">
        <v>563</v>
      </c>
      <c r="F100" t="s">
        <v>1247</v>
      </c>
    </row>
    <row r="101" spans="1:6">
      <c r="A101" t="s">
        <v>1347</v>
      </c>
      <c r="B101" s="35" t="s">
        <v>346</v>
      </c>
      <c r="C101" s="35" t="s">
        <v>1248</v>
      </c>
      <c r="D101" s="35"/>
      <c r="E101" t="s">
        <v>562</v>
      </c>
      <c r="F101" t="s">
        <v>1248</v>
      </c>
    </row>
    <row r="102" spans="1:6">
      <c r="A102" t="s">
        <v>1347</v>
      </c>
      <c r="B102" s="35" t="s">
        <v>347</v>
      </c>
      <c r="C102" s="35" t="s">
        <v>1249</v>
      </c>
      <c r="D102" s="35"/>
      <c r="E102" t="s">
        <v>561</v>
      </c>
      <c r="F102" t="s">
        <v>1249</v>
      </c>
    </row>
    <row r="103" spans="1:6">
      <c r="A103" t="s">
        <v>1347</v>
      </c>
      <c r="B103" s="35" t="s">
        <v>348</v>
      </c>
      <c r="C103" s="35" t="s">
        <v>1250</v>
      </c>
      <c r="D103" s="35"/>
      <c r="E103" t="s">
        <v>560</v>
      </c>
      <c r="F103" t="s">
        <v>1250</v>
      </c>
    </row>
    <row r="104" spans="1:6">
      <c r="A104" t="s">
        <v>1347</v>
      </c>
      <c r="B104" s="35" t="s">
        <v>349</v>
      </c>
      <c r="C104" s="35" t="s">
        <v>1251</v>
      </c>
      <c r="D104" s="35"/>
      <c r="E104" t="s">
        <v>388</v>
      </c>
      <c r="F104" t="s">
        <v>1251</v>
      </c>
    </row>
    <row r="105" spans="1:6">
      <c r="A105" t="s">
        <v>1347</v>
      </c>
      <c r="B105" s="35" t="s">
        <v>350</v>
      </c>
      <c r="C105" s="35" t="s">
        <v>1252</v>
      </c>
      <c r="D105" s="35"/>
      <c r="E105" t="s">
        <v>559</v>
      </c>
      <c r="F105" t="s">
        <v>1252</v>
      </c>
    </row>
    <row r="106" spans="1:6">
      <c r="A106" t="s">
        <v>1346</v>
      </c>
      <c r="B106" s="35" t="s">
        <v>351</v>
      </c>
      <c r="C106" s="35" t="s">
        <v>1253</v>
      </c>
      <c r="D106" s="35"/>
      <c r="E106" t="s">
        <v>534</v>
      </c>
      <c r="F106" t="s">
        <v>1314</v>
      </c>
    </row>
    <row r="107" spans="1:6">
      <c r="A107" t="s">
        <v>1346</v>
      </c>
      <c r="B107" s="35" t="s">
        <v>1344</v>
      </c>
      <c r="D107" s="35"/>
      <c r="E107" t="s">
        <v>943</v>
      </c>
      <c r="F107" t="s">
        <v>1315</v>
      </c>
    </row>
    <row r="108" spans="1:6">
      <c r="A108" t="s">
        <v>1357</v>
      </c>
      <c r="B108" s="35" t="s">
        <v>352</v>
      </c>
      <c r="C108" s="35" t="s">
        <v>1254</v>
      </c>
      <c r="E108" s="35" t="s">
        <v>1353</v>
      </c>
    </row>
    <row r="109" spans="1:6">
      <c r="A109" t="s">
        <v>1345</v>
      </c>
      <c r="B109" s="35" t="s">
        <v>1344</v>
      </c>
      <c r="E109" t="s">
        <v>558</v>
      </c>
      <c r="F109" t="s">
        <v>1298</v>
      </c>
    </row>
    <row r="110" spans="1:6">
      <c r="A110" t="s">
        <v>1345</v>
      </c>
      <c r="B110" s="35" t="s">
        <v>1344</v>
      </c>
      <c r="E110" t="s">
        <v>960</v>
      </c>
      <c r="F110" t="s">
        <v>1299</v>
      </c>
    </row>
    <row r="111" spans="1:6">
      <c r="A111" t="s">
        <v>1345</v>
      </c>
      <c r="B111" s="35" t="s">
        <v>1344</v>
      </c>
      <c r="E111" t="s">
        <v>959</v>
      </c>
      <c r="F111" t="s">
        <v>1299</v>
      </c>
    </row>
    <row r="112" spans="1:6">
      <c r="A112" t="s">
        <v>1345</v>
      </c>
      <c r="B112" s="35" t="s">
        <v>1344</v>
      </c>
      <c r="E112" t="s">
        <v>958</v>
      </c>
      <c r="F112" t="s">
        <v>1299</v>
      </c>
    </row>
    <row r="113" spans="1:6">
      <c r="A113" t="s">
        <v>1345</v>
      </c>
      <c r="B113" s="35" t="s">
        <v>1344</v>
      </c>
      <c r="E113" t="s">
        <v>957</v>
      </c>
      <c r="F113" t="s">
        <v>1299</v>
      </c>
    </row>
    <row r="114" spans="1:6">
      <c r="A114" t="s">
        <v>1345</v>
      </c>
      <c r="B114" s="35" t="s">
        <v>1344</v>
      </c>
      <c r="E114" t="s">
        <v>952</v>
      </c>
      <c r="F114" t="s">
        <v>1304</v>
      </c>
    </row>
    <row r="115" spans="1:6">
      <c r="A115" t="s">
        <v>1345</v>
      </c>
      <c r="B115" s="35" t="s">
        <v>1344</v>
      </c>
      <c r="E115" t="s">
        <v>951</v>
      </c>
      <c r="F115" t="s">
        <v>1305</v>
      </c>
    </row>
    <row r="116" spans="1:6">
      <c r="A116" t="s">
        <v>1345</v>
      </c>
      <c r="B116" s="35" t="s">
        <v>1344</v>
      </c>
      <c r="E116" t="s">
        <v>956</v>
      </c>
      <c r="F116" t="s">
        <v>1306</v>
      </c>
    </row>
    <row r="117" spans="1:6">
      <c r="A117" t="s">
        <v>1345</v>
      </c>
      <c r="B117" s="35" t="s">
        <v>1344</v>
      </c>
      <c r="E117" t="s">
        <v>955</v>
      </c>
      <c r="F117" t="s">
        <v>1306</v>
      </c>
    </row>
    <row r="118" spans="1:6">
      <c r="A118" t="s">
        <v>1345</v>
      </c>
      <c r="B118" s="35" t="s">
        <v>1344</v>
      </c>
      <c r="E118" t="s">
        <v>954</v>
      </c>
      <c r="F118" t="s">
        <v>1306</v>
      </c>
    </row>
    <row r="119" spans="1:6">
      <c r="A119" t="s">
        <v>1345</v>
      </c>
      <c r="B119" s="35" t="s">
        <v>1344</v>
      </c>
      <c r="E119" t="s">
        <v>953</v>
      </c>
      <c r="F119" t="s">
        <v>1306</v>
      </c>
    </row>
    <row r="120" spans="1:6">
      <c r="A120" t="s">
        <v>1345</v>
      </c>
      <c r="B120" s="35" t="s">
        <v>1344</v>
      </c>
      <c r="E120" t="s">
        <v>950</v>
      </c>
      <c r="F120" t="s">
        <v>1307</v>
      </c>
    </row>
    <row r="121" spans="1:6">
      <c r="A121" t="s">
        <v>1345</v>
      </c>
      <c r="B121" s="35" t="s">
        <v>1344</v>
      </c>
      <c r="E121" t="s">
        <v>949</v>
      </c>
      <c r="F121" t="s">
        <v>1308</v>
      </c>
    </row>
    <row r="122" spans="1:6">
      <c r="A122" t="s">
        <v>1345</v>
      </c>
      <c r="B122" s="35" t="s">
        <v>1344</v>
      </c>
      <c r="E122" t="s">
        <v>948</v>
      </c>
      <c r="F122" t="s">
        <v>1309</v>
      </c>
    </row>
    <row r="123" spans="1:6">
      <c r="A123" t="s">
        <v>1345</v>
      </c>
      <c r="B123" s="35" t="s">
        <v>1358</v>
      </c>
      <c r="E123" t="s">
        <v>947</v>
      </c>
      <c r="F123" t="s">
        <v>1310</v>
      </c>
    </row>
    <row r="124" spans="1:6">
      <c r="A124" t="s">
        <v>1345</v>
      </c>
      <c r="B124" s="35" t="s">
        <v>1358</v>
      </c>
      <c r="E124" t="s">
        <v>946</v>
      </c>
      <c r="F124" t="s">
        <v>1311</v>
      </c>
    </row>
    <row r="125" spans="1:6">
      <c r="A125" t="s">
        <v>1345</v>
      </c>
      <c r="B125" s="35" t="s">
        <v>1344</v>
      </c>
      <c r="E125" t="s">
        <v>945</v>
      </c>
      <c r="F125" t="s">
        <v>1312</v>
      </c>
    </row>
    <row r="126" spans="1:6">
      <c r="A126" t="s">
        <v>1345</v>
      </c>
      <c r="B126" s="35" t="s">
        <v>1344</v>
      </c>
      <c r="E126" t="s">
        <v>944</v>
      </c>
      <c r="F126" t="s">
        <v>1313</v>
      </c>
    </row>
    <row r="129" spans="2:2">
      <c r="B129" s="35"/>
    </row>
    <row r="130" spans="2:2">
      <c r="B130" s="35"/>
    </row>
    <row r="131" spans="2:2">
      <c r="B131" s="35"/>
    </row>
    <row r="132" spans="2:2">
      <c r="B132" s="35"/>
    </row>
    <row r="133" spans="2:2">
      <c r="B133" s="35"/>
    </row>
    <row r="134" spans="2:2">
      <c r="B134" s="3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2E075-D496-4EC1-9404-DEA8314127A5}">
  <sheetPr>
    <tabColor theme="5"/>
  </sheetPr>
  <dimension ref="A1:C107"/>
  <sheetViews>
    <sheetView zoomScale="85" zoomScaleNormal="85" workbookViewId="0"/>
  </sheetViews>
  <sheetFormatPr defaultRowHeight="15"/>
  <cols>
    <col min="1" max="1" width="28" style="35" bestFit="1" customWidth="1"/>
    <col min="2" max="2" width="70.140625" style="35" customWidth="1"/>
    <col min="3" max="16384" width="9.140625" style="35"/>
  </cols>
  <sheetData>
    <row r="1" spans="1:3" s="58" customFormat="1">
      <c r="A1" s="58" t="s">
        <v>1198</v>
      </c>
      <c r="B1" s="58" t="s">
        <v>1197</v>
      </c>
      <c r="C1" s="58" t="s">
        <v>1316</v>
      </c>
    </row>
    <row r="2" spans="1:3">
      <c r="A2" s="35" t="s">
        <v>251</v>
      </c>
      <c r="B2" s="35" t="s">
        <v>1199</v>
      </c>
    </row>
    <row r="3" spans="1:3">
      <c r="A3" s="35" t="s">
        <v>252</v>
      </c>
      <c r="B3" s="35" t="s">
        <v>1200</v>
      </c>
    </row>
    <row r="4" spans="1:3">
      <c r="A4" s="35" t="s">
        <v>253</v>
      </c>
      <c r="B4" s="35" t="s">
        <v>1201</v>
      </c>
    </row>
    <row r="5" spans="1:3">
      <c r="A5" s="35" t="s">
        <v>484</v>
      </c>
      <c r="B5" s="35" t="s">
        <v>1202</v>
      </c>
    </row>
    <row r="6" spans="1:3">
      <c r="A6" s="35" t="s">
        <v>0</v>
      </c>
      <c r="B6" s="35" t="s">
        <v>1203</v>
      </c>
    </row>
    <row r="7" spans="1:3">
      <c r="A7" s="35" t="s">
        <v>258</v>
      </c>
      <c r="B7" s="35" t="s">
        <v>1204</v>
      </c>
    </row>
    <row r="8" spans="1:3">
      <c r="A8" s="35" t="s">
        <v>259</v>
      </c>
      <c r="B8" s="35" t="s">
        <v>1205</v>
      </c>
    </row>
    <row r="9" spans="1:3">
      <c r="A9" s="35" t="s">
        <v>1</v>
      </c>
      <c r="B9" s="35" t="s">
        <v>1206</v>
      </c>
    </row>
    <row r="10" spans="1:3">
      <c r="A10" s="35" t="s">
        <v>260</v>
      </c>
      <c r="B10" s="35" t="s">
        <v>1207</v>
      </c>
    </row>
    <row r="11" spans="1:3">
      <c r="A11" s="35" t="s">
        <v>261</v>
      </c>
      <c r="B11" s="35" t="s">
        <v>1208</v>
      </c>
    </row>
    <row r="12" spans="1:3">
      <c r="A12" s="35" t="s">
        <v>2</v>
      </c>
      <c r="B12" s="35" t="s">
        <v>1209</v>
      </c>
    </row>
    <row r="13" spans="1:3">
      <c r="A13" s="35" t="s">
        <v>262</v>
      </c>
      <c r="B13" s="35" t="s">
        <v>1210</v>
      </c>
    </row>
    <row r="14" spans="1:3">
      <c r="A14" s="35" t="s">
        <v>263</v>
      </c>
      <c r="B14" s="35" t="s">
        <v>1211</v>
      </c>
    </row>
    <row r="15" spans="1:3">
      <c r="A15" s="35" t="s">
        <v>3</v>
      </c>
      <c r="B15" s="35" t="s">
        <v>1212</v>
      </c>
    </row>
    <row r="16" spans="1:3">
      <c r="A16" s="35" t="s">
        <v>264</v>
      </c>
      <c r="B16" s="35" t="str">
        <f>"How strongly do you expect to feel each of the following emotions while working on the podcasting assignment in this course? - "&amp;RIGHT(A16,LEN(A16)-(FIND("_",A16,8)))</f>
        <v>How strongly do you expect to feel each of the following emotions while working on the podcasting assignment in this course? - Excited</v>
      </c>
    </row>
    <row r="17" spans="1:2">
      <c r="A17" s="35" t="s">
        <v>265</v>
      </c>
      <c r="B17" s="35" t="str">
        <f t="shared" ref="B17:B27" si="0">"How strongly do you expect to feel each of the following emotions while working on the podcasting assignment in this course? - "&amp;RIGHT(A17,LEN(A17)-(FIND("_",A17,8)))</f>
        <v>How strongly do you expect to feel each of the following emotions while working on the podcasting assignment in this course? - Nervous</v>
      </c>
    </row>
    <row r="18" spans="1:2">
      <c r="A18" s="35" t="s">
        <v>266</v>
      </c>
      <c r="B18" s="35" t="str">
        <f t="shared" si="0"/>
        <v>How strongly do you expect to feel each of the following emotions while working on the podcasting assignment in this course? - Bored</v>
      </c>
    </row>
    <row r="19" spans="1:2">
      <c r="A19" s="35" t="s">
        <v>267</v>
      </c>
      <c r="B19" s="35" t="str">
        <f t="shared" si="0"/>
        <v>How strongly do you expect to feel each of the following emotions while working on the podcasting assignment in this course? - Calm</v>
      </c>
    </row>
    <row r="20" spans="1:2">
      <c r="A20" s="35" t="s">
        <v>268</v>
      </c>
      <c r="B20" s="35" t="str">
        <f t="shared" si="0"/>
        <v>How strongly do you expect to feel each of the following emotions while working on the podcasting assignment in this course? - Enthused</v>
      </c>
    </row>
    <row r="21" spans="1:2">
      <c r="A21" s="35" t="s">
        <v>269</v>
      </c>
      <c r="B21" s="35" t="str">
        <f t="shared" si="0"/>
        <v>How strongly do you expect to feel each of the following emotions while working on the podcasting assignment in this course? - Anxious</v>
      </c>
    </row>
    <row r="22" spans="1:2">
      <c r="A22" s="35" t="s">
        <v>270</v>
      </c>
      <c r="B22" s="35" t="str">
        <f t="shared" si="0"/>
        <v>How strongly do you expect to feel each of the following emotions while working on the podcasting assignment in this course? - Dull</v>
      </c>
    </row>
    <row r="23" spans="1:2">
      <c r="A23" s="35" t="s">
        <v>271</v>
      </c>
      <c r="B23" s="35" t="str">
        <f t="shared" si="0"/>
        <v>How strongly do you expect to feel each of the following emotions while working on the podcasting assignment in this course? - Relaxed</v>
      </c>
    </row>
    <row r="24" spans="1:2">
      <c r="A24" s="35" t="s">
        <v>272</v>
      </c>
      <c r="B24" s="35" t="str">
        <f t="shared" si="0"/>
        <v>How strongly do you expect to feel each of the following emotions while working on the podcasting assignment in this course? - Elated</v>
      </c>
    </row>
    <row r="25" spans="1:2">
      <c r="A25" s="35" t="s">
        <v>273</v>
      </c>
      <c r="B25" s="35" t="str">
        <f t="shared" si="0"/>
        <v>How strongly do you expect to feel each of the following emotions while working on the podcasting assignment in this course? - Overwhelmed</v>
      </c>
    </row>
    <row r="26" spans="1:2">
      <c r="A26" s="35" t="s">
        <v>274</v>
      </c>
      <c r="B26" s="35" t="str">
        <f t="shared" si="0"/>
        <v>How strongly do you expect to feel each of the following emotions while working on the podcasting assignment in this course? - Disinterest</v>
      </c>
    </row>
    <row r="27" spans="1:2">
      <c r="A27" s="35" t="s">
        <v>275</v>
      </c>
      <c r="B27" s="35" t="str">
        <f t="shared" si="0"/>
        <v>How strongly do you expect to feel each of the following emotions while working on the podcasting assignment in this course? - Content</v>
      </c>
    </row>
    <row r="28" spans="1:2">
      <c r="A28" s="35" t="s">
        <v>276</v>
      </c>
      <c r="B28" s="35" t="s">
        <v>1213</v>
      </c>
    </row>
    <row r="29" spans="1:2">
      <c r="A29" s="35" t="s">
        <v>4</v>
      </c>
      <c r="B29" s="35" t="s">
        <v>1214</v>
      </c>
    </row>
    <row r="30" spans="1:2">
      <c r="A30" s="35" t="s">
        <v>277</v>
      </c>
      <c r="B30" s="35" t="str">
        <f>"How strongly do you expect to feel each of the following emotions when preparing and leading case-study discussions in this course? - "&amp;RIGHT(A30,LEN(A30)-(FIND("_",A30,8)))</f>
        <v>How strongly do you expect to feel each of the following emotions when preparing and leading case-study discussions in this course? - Excited</v>
      </c>
    </row>
    <row r="31" spans="1:2">
      <c r="A31" s="35" t="s">
        <v>278</v>
      </c>
      <c r="B31" s="35" t="str">
        <f t="shared" ref="B31:B41" si="1">"How strongly do you expect to feel each of the following emotions when preparing and leading case-study discussions in this course? - "&amp;RIGHT(A31,LEN(A31)-(FIND("_",A31,8)))</f>
        <v>How strongly do you expect to feel each of the following emotions when preparing and leading case-study discussions in this course? - Nervous</v>
      </c>
    </row>
    <row r="32" spans="1:2">
      <c r="A32" s="35" t="s">
        <v>279</v>
      </c>
      <c r="B32" s="35" t="str">
        <f t="shared" si="1"/>
        <v>How strongly do you expect to feel each of the following emotions when preparing and leading case-study discussions in this course? - Bored</v>
      </c>
    </row>
    <row r="33" spans="1:2">
      <c r="A33" s="35" t="s">
        <v>280</v>
      </c>
      <c r="B33" s="35" t="str">
        <f t="shared" si="1"/>
        <v>How strongly do you expect to feel each of the following emotions when preparing and leading case-study discussions in this course? - Calm</v>
      </c>
    </row>
    <row r="34" spans="1:2">
      <c r="A34" s="35" t="s">
        <v>281</v>
      </c>
      <c r="B34" s="35" t="str">
        <f t="shared" si="1"/>
        <v>How strongly do you expect to feel each of the following emotions when preparing and leading case-study discussions in this course? - Enthused</v>
      </c>
    </row>
    <row r="35" spans="1:2">
      <c r="A35" s="35" t="s">
        <v>282</v>
      </c>
      <c r="B35" s="35" t="str">
        <f t="shared" si="1"/>
        <v>How strongly do you expect to feel each of the following emotions when preparing and leading case-study discussions in this course? - Anxious</v>
      </c>
    </row>
    <row r="36" spans="1:2">
      <c r="A36" s="35" t="s">
        <v>283</v>
      </c>
      <c r="B36" s="35" t="str">
        <f t="shared" si="1"/>
        <v>How strongly do you expect to feel each of the following emotions when preparing and leading case-study discussions in this course? - Dull</v>
      </c>
    </row>
    <row r="37" spans="1:2">
      <c r="A37" s="35" t="s">
        <v>284</v>
      </c>
      <c r="B37" s="35" t="str">
        <f t="shared" si="1"/>
        <v>How strongly do you expect to feel each of the following emotions when preparing and leading case-study discussions in this course? - Relaxed</v>
      </c>
    </row>
    <row r="38" spans="1:2">
      <c r="A38" s="35" t="s">
        <v>285</v>
      </c>
      <c r="B38" s="35" t="str">
        <f t="shared" si="1"/>
        <v>How strongly do you expect to feel each of the following emotions when preparing and leading case-study discussions in this course? - Elated</v>
      </c>
    </row>
    <row r="39" spans="1:2">
      <c r="A39" s="35" t="s">
        <v>286</v>
      </c>
      <c r="B39" s="35" t="str">
        <f t="shared" si="1"/>
        <v>How strongly do you expect to feel each of the following emotions when preparing and leading case-study discussions in this course? - Overwhelmed</v>
      </c>
    </row>
    <row r="40" spans="1:2">
      <c r="A40" s="35" t="s">
        <v>287</v>
      </c>
      <c r="B40" s="35" t="str">
        <f t="shared" si="1"/>
        <v>How strongly do you expect to feel each of the following emotions when preparing and leading case-study discussions in this course? - Disinterest</v>
      </c>
    </row>
    <row r="41" spans="1:2">
      <c r="A41" s="35" t="s">
        <v>288</v>
      </c>
      <c r="B41" s="35" t="str">
        <f t="shared" si="1"/>
        <v>How strongly do you expect to feel each of the following emotions when preparing and leading case-study discussions in this course? - Content</v>
      </c>
    </row>
    <row r="42" spans="1:2">
      <c r="A42" s="35" t="s">
        <v>289</v>
      </c>
      <c r="B42" s="35" t="str">
        <f>"How strongly do you expect to feel each of the following emotions while preparing for and participating in the business case competition? - "&amp;RIGHT(A42,LEN(A42)-(FIND("_",A42,8)))</f>
        <v>How strongly do you expect to feel each of the following emotions while preparing for and participating in the business case competition? - Excited</v>
      </c>
    </row>
    <row r="43" spans="1:2">
      <c r="A43" s="35" t="s">
        <v>290</v>
      </c>
      <c r="B43" s="35" t="str">
        <f t="shared" ref="B43:B53" si="2">"How strongly do you expect to feel each of the following emotions while preparing for and participating in the business case competition? - "&amp;RIGHT(A43,LEN(A43)-(FIND("_",A43,8)))</f>
        <v>How strongly do you expect to feel each of the following emotions while preparing for and participating in the business case competition? - Nervous</v>
      </c>
    </row>
    <row r="44" spans="1:2">
      <c r="A44" s="35" t="s">
        <v>291</v>
      </c>
      <c r="B44" s="35" t="str">
        <f t="shared" si="2"/>
        <v>How strongly do you expect to feel each of the following emotions while preparing for and participating in the business case competition? - Bored</v>
      </c>
    </row>
    <row r="45" spans="1:2">
      <c r="A45" s="35" t="s">
        <v>292</v>
      </c>
      <c r="B45" s="35" t="str">
        <f t="shared" si="2"/>
        <v>How strongly do you expect to feel each of the following emotions while preparing for and participating in the business case competition? - Calm</v>
      </c>
    </row>
    <row r="46" spans="1:2">
      <c r="A46" s="35" t="s">
        <v>293</v>
      </c>
      <c r="B46" s="35" t="str">
        <f t="shared" si="2"/>
        <v>How strongly do you expect to feel each of the following emotions while preparing for and participating in the business case competition? - Enthused</v>
      </c>
    </row>
    <row r="47" spans="1:2">
      <c r="A47" s="35" t="s">
        <v>294</v>
      </c>
      <c r="B47" s="35" t="str">
        <f t="shared" si="2"/>
        <v>How strongly do you expect to feel each of the following emotions while preparing for and participating in the business case competition? - Anxious</v>
      </c>
    </row>
    <row r="48" spans="1:2">
      <c r="A48" s="35" t="s">
        <v>295</v>
      </c>
      <c r="B48" s="35" t="str">
        <f t="shared" si="2"/>
        <v>How strongly do you expect to feel each of the following emotions while preparing for and participating in the business case competition? - Dull</v>
      </c>
    </row>
    <row r="49" spans="1:2">
      <c r="A49" s="35" t="s">
        <v>296</v>
      </c>
      <c r="B49" s="35" t="str">
        <f t="shared" si="2"/>
        <v>How strongly do you expect to feel each of the following emotions while preparing for and participating in the business case competition? - Relaxed</v>
      </c>
    </row>
    <row r="50" spans="1:2">
      <c r="A50" s="35" t="s">
        <v>297</v>
      </c>
      <c r="B50" s="35" t="str">
        <f t="shared" si="2"/>
        <v>How strongly do you expect to feel each of the following emotions while preparing for and participating in the business case competition? - Elated</v>
      </c>
    </row>
    <row r="51" spans="1:2">
      <c r="A51" s="35" t="s">
        <v>298</v>
      </c>
      <c r="B51" s="35" t="str">
        <f t="shared" si="2"/>
        <v>How strongly do you expect to feel each of the following emotions while preparing for and participating in the business case competition? - Overwhelmed</v>
      </c>
    </row>
    <row r="52" spans="1:2">
      <c r="A52" s="35" t="s">
        <v>299</v>
      </c>
      <c r="B52" s="35" t="str">
        <f t="shared" si="2"/>
        <v>How strongly do you expect to feel each of the following emotions while preparing for and participating in the business case competition? - Disinterest</v>
      </c>
    </row>
    <row r="53" spans="1:2">
      <c r="A53" s="35" t="s">
        <v>300</v>
      </c>
      <c r="B53" s="35" t="str">
        <f t="shared" si="2"/>
        <v>How strongly do you expect to feel each of the following emotions while preparing for and participating in the business case competition? - Content</v>
      </c>
    </row>
    <row r="54" spans="1:2">
      <c r="A54" s="35" t="s">
        <v>301</v>
      </c>
      <c r="B54" s="35" t="s">
        <v>1215</v>
      </c>
    </row>
    <row r="55" spans="1:2">
      <c r="A55" s="35" t="s">
        <v>5</v>
      </c>
      <c r="B55" s="35" t="s">
        <v>1214</v>
      </c>
    </row>
    <row r="56" spans="1:2">
      <c r="A56" s="35" t="s">
        <v>302</v>
      </c>
      <c r="B56" s="35" t="str">
        <f>"How strongly do you expect to feel each of the following emotions while working with a mentor in this course? - "&amp;RIGHT(A56,LEN(A56)-(FIND("_",A56,8)))</f>
        <v>How strongly do you expect to feel each of the following emotions while working with a mentor in this course? - Excited</v>
      </c>
    </row>
    <row r="57" spans="1:2">
      <c r="A57" s="35" t="s">
        <v>303</v>
      </c>
      <c r="B57" s="35" t="str">
        <f t="shared" ref="B57:B67" si="3">"How strongly do you expect to feel each of the following emotions while working with a mentor in this course? - "&amp;RIGHT(A57,LEN(A57)-(FIND("_",A57,8)))</f>
        <v>How strongly do you expect to feel each of the following emotions while working with a mentor in this course? - Nervous</v>
      </c>
    </row>
    <row r="58" spans="1:2">
      <c r="A58" s="35" t="s">
        <v>304</v>
      </c>
      <c r="B58" s="35" t="str">
        <f t="shared" si="3"/>
        <v>How strongly do you expect to feel each of the following emotions while working with a mentor in this course? - Bored</v>
      </c>
    </row>
    <row r="59" spans="1:2">
      <c r="A59" s="35" t="s">
        <v>305</v>
      </c>
      <c r="B59" s="35" t="str">
        <f t="shared" si="3"/>
        <v>How strongly do you expect to feel each of the following emotions while working with a mentor in this course? - Calm</v>
      </c>
    </row>
    <row r="60" spans="1:2">
      <c r="A60" s="35" t="s">
        <v>306</v>
      </c>
      <c r="B60" s="35" t="str">
        <f t="shared" si="3"/>
        <v>How strongly do you expect to feel each of the following emotions while working with a mentor in this course? - Enthused</v>
      </c>
    </row>
    <row r="61" spans="1:2">
      <c r="A61" s="35" t="s">
        <v>307</v>
      </c>
      <c r="B61" s="35" t="str">
        <f t="shared" si="3"/>
        <v>How strongly do you expect to feel each of the following emotions while working with a mentor in this course? - Anxious</v>
      </c>
    </row>
    <row r="62" spans="1:2">
      <c r="A62" s="35" t="s">
        <v>308</v>
      </c>
      <c r="B62" s="35" t="str">
        <f t="shared" si="3"/>
        <v>How strongly do you expect to feel each of the following emotions while working with a mentor in this course? - Dull</v>
      </c>
    </row>
    <row r="63" spans="1:2">
      <c r="A63" s="35" t="s">
        <v>309</v>
      </c>
      <c r="B63" s="35" t="str">
        <f t="shared" si="3"/>
        <v>How strongly do you expect to feel each of the following emotions while working with a mentor in this course? - Relaxed</v>
      </c>
    </row>
    <row r="64" spans="1:2">
      <c r="A64" s="35" t="s">
        <v>310</v>
      </c>
      <c r="B64" s="35" t="str">
        <f t="shared" si="3"/>
        <v>How strongly do you expect to feel each of the following emotions while working with a mentor in this course? - Elated</v>
      </c>
    </row>
    <row r="65" spans="1:3">
      <c r="A65" s="35" t="s">
        <v>311</v>
      </c>
      <c r="B65" s="35" t="str">
        <f t="shared" si="3"/>
        <v>How strongly do you expect to feel each of the following emotions while working with a mentor in this course? - Overwhelmed</v>
      </c>
    </row>
    <row r="66" spans="1:3">
      <c r="A66" s="35" t="s">
        <v>312</v>
      </c>
      <c r="B66" s="35" t="str">
        <f t="shared" si="3"/>
        <v>How strongly do you expect to feel each of the following emotions while working with a mentor in this course? - Disinterest</v>
      </c>
    </row>
    <row r="67" spans="1:3">
      <c r="A67" s="35" t="s">
        <v>313</v>
      </c>
      <c r="B67" s="35" t="str">
        <f t="shared" si="3"/>
        <v>How strongly do you expect to feel each of the following emotions while working with a mentor in this course? - Content</v>
      </c>
    </row>
    <row r="68" spans="1:3">
      <c r="A68" s="35" t="s">
        <v>314</v>
      </c>
      <c r="B68" s="35" t="s">
        <v>1216</v>
      </c>
    </row>
    <row r="69" spans="1:3">
      <c r="A69" s="35" t="s">
        <v>6</v>
      </c>
      <c r="B69" s="35" t="s">
        <v>1214</v>
      </c>
    </row>
    <row r="70" spans="1:3">
      <c r="A70" s="35" t="s">
        <v>315</v>
      </c>
      <c r="B70" s="35" t="str">
        <f>"Think about how actively you anticipate contributing to group work, class discussions, and other course-related activities, both in and out of class.  Please answer as honestly as possible—there are no right or wrong answers. - "&amp;RIGHT(A70,LEN(A70)-(FIND("_",A70,8)))</f>
        <v>Think about how actively you anticipate contributing to group work, class discussions, and other course-related activities, both in and out of class.  Please answer as honestly as possible—there are no right or wrong answers. - Podcast</v>
      </c>
      <c r="C70" s="35" t="s">
        <v>1223</v>
      </c>
    </row>
    <row r="71" spans="1:3">
      <c r="A71" s="35" t="s">
        <v>316</v>
      </c>
      <c r="B71" s="35" t="str">
        <f t="shared" ref="B71:B75" si="4">"Think about how actively you anticipate contributing to group work, class discussions, and other course-related activities, both in and out of class.  Please answer as honestly as possible—there are no right or wrong answers. - "&amp;RIGHT(A71,LEN(A71)-(FIND("_",A71,8)))</f>
        <v>Think about how actively you anticipate contributing to group work, class discussions, and other course-related activities, both in and out of class.  Please answer as honestly as possible—there are no right or wrong answers. - CaseStudy</v>
      </c>
      <c r="C71" s="35" t="s">
        <v>1224</v>
      </c>
    </row>
    <row r="72" spans="1:3">
      <c r="A72" s="35" t="s">
        <v>317</v>
      </c>
      <c r="B72" s="35" t="str">
        <f t="shared" si="4"/>
        <v>Think about how actively you anticipate contributing to group work, class discussions, and other course-related activities, both in and out of class.  Please answer as honestly as possible—there are no right or wrong answers. - BizCase</v>
      </c>
      <c r="C72" s="35" t="s">
        <v>1225</v>
      </c>
    </row>
    <row r="73" spans="1:3">
      <c r="A73" s="35" t="s">
        <v>318</v>
      </c>
      <c r="B73" s="35" t="str">
        <f t="shared" si="4"/>
        <v>Think about how actively you anticipate contributing to group work, class discussions, and other course-related activities, both in and out of class.  Please answer as honestly as possible—there are no right or wrong answers. - Mentor</v>
      </c>
      <c r="C73" s="35" t="s">
        <v>1226</v>
      </c>
    </row>
    <row r="74" spans="1:3">
      <c r="A74" s="35" t="s">
        <v>319</v>
      </c>
      <c r="B74" s="35" t="str">
        <f t="shared" si="4"/>
        <v>Think about how actively you anticipate contributing to group work, class discussions, and other course-related activities, both in and out of class.  Please answer as honestly as possible—there are no right or wrong answers. - Coursework</v>
      </c>
      <c r="C74" s="35" t="s">
        <v>1227</v>
      </c>
    </row>
    <row r="75" spans="1:3">
      <c r="A75" s="35" t="s">
        <v>320</v>
      </c>
      <c r="B75" s="35" t="str">
        <f t="shared" si="4"/>
        <v>Think about how actively you anticipate contributing to group work, class discussions, and other course-related activities, both in and out of class.  Please answer as honestly as possible—there are no right or wrong answers. - Learn</v>
      </c>
      <c r="C75" s="35" t="s">
        <v>1228</v>
      </c>
    </row>
    <row r="76" spans="1:3">
      <c r="A76" s="35" t="s">
        <v>321</v>
      </c>
      <c r="B76" s="35" t="str">
        <f>"The following statements focus on how much you expect to engage with complex or real-world issues throughout the course. Please answer as honestly as possible—there are no right or wrong answers. - "&amp;RIGHT(A76,LEN(A76)-(FIND("_",A76,8)))</f>
        <v>The following statements focus on how much you expect to engage with complex or real-world issues throughout the course. Please answer as honestly as possible—there are no right or wrong answers. - PodcastCrit</v>
      </c>
      <c r="C76" s="35" t="s">
        <v>1217</v>
      </c>
    </row>
    <row r="77" spans="1:3">
      <c r="A77" s="35" t="s">
        <v>322</v>
      </c>
      <c r="B77" s="35" t="str">
        <f t="shared" ref="B77:B81" si="5">"The following statements focus on how much you expect to engage with complex or real-world issues throughout the course. Please answer as honestly as possible—there are no right or wrong answers. - "&amp;RIGHT(A77,LEN(A77)-(FIND("_",A77,8)))</f>
        <v>The following statements focus on how much you expect to engage with complex or real-world issues throughout the course. Please answer as honestly as possible—there are no right or wrong answers. - CaseStudySides</v>
      </c>
      <c r="C77" s="35" t="s">
        <v>1218</v>
      </c>
    </row>
    <row r="78" spans="1:3">
      <c r="A78" s="35" t="s">
        <v>323</v>
      </c>
      <c r="B78" s="35" t="str">
        <f t="shared" si="5"/>
        <v>The following statements focus on how much you expect to engage with complex or real-world issues throughout the course. Please answer as honestly as possible—there are no right or wrong answers. - BizRealWorld</v>
      </c>
      <c r="C78" s="35" t="s">
        <v>1219</v>
      </c>
    </row>
    <row r="79" spans="1:3">
      <c r="A79" s="35" t="s">
        <v>324</v>
      </c>
      <c r="B79" s="35" t="str">
        <f t="shared" si="5"/>
        <v>The following statements focus on how much you expect to engage with complex or real-world issues throughout the course. Please answer as honestly as possible—there are no right or wrong answers. - MentorFeedback</v>
      </c>
      <c r="C79" s="35" t="s">
        <v>1220</v>
      </c>
    </row>
    <row r="80" spans="1:3">
      <c r="A80" s="35" t="s">
        <v>325</v>
      </c>
      <c r="B80" s="35" t="str">
        <f t="shared" si="5"/>
        <v>The following statements focus on how much you expect to engage with complex or real-world issues throughout the course. Please answer as honestly as possible—there are no right or wrong answers. - ApplyDecisions</v>
      </c>
      <c r="C80" s="35" t="s">
        <v>1221</v>
      </c>
    </row>
    <row r="81" spans="1:3">
      <c r="A81" s="35" t="s">
        <v>326</v>
      </c>
      <c r="B81" s="35" t="str">
        <f t="shared" si="5"/>
        <v>The following statements focus on how much you expect to engage with complex or real-world issues throughout the course. Please answer as honestly as possible—there are no right or wrong answers. - AnalyzeAgBiz</v>
      </c>
      <c r="C81" s="35" t="s">
        <v>1222</v>
      </c>
    </row>
    <row r="82" spans="1:3">
      <c r="A82" s="35" t="s">
        <v>327</v>
      </c>
      <c r="B82" s="35" t="str">
        <f>_xlfn._LONGTEXT("Consider your current your beliefs and values as you enter the course. These questions ask about how you see yourself as a learner and professional, how you relate to the goals of this course, and how willing you are to face challenges when learning somet","hing new or difficult. - ")&amp;RIGHT(A82,LEN(A82)-(FIND("_",A82,8)))</f>
        <v>Consider your current your beliefs and values as you enter the course. These questions ask about how you see yourself as a learner and professional, how you relate to the goals of this course, and how willing you are to face challenges when learning something new or difficult. - Dept</v>
      </c>
      <c r="C82" s="35" t="s">
        <v>1229</v>
      </c>
    </row>
    <row r="83" spans="1:3">
      <c r="A83" s="35" t="s">
        <v>328</v>
      </c>
      <c r="B83" s="35" t="str">
        <f t="shared" ref="B83" si="6">_xlfn._LONGTEXT("Consider your current your beliefs and values as you enter the course. These questions ask about how you see yourself as a learner and professional, how you relate to the goals of this course, and how willing you are to face challenges when learning somet","hing new or difficult. - ")&amp;RIGHT(A83,LEN(A83)-(FIND("_",A83,8)))</f>
        <v>Consider your current your beliefs and values as you enter the course. These questions ask about how you see yourself as a learner and professional, how you relate to the goals of this course, and how willing you are to face challenges when learning something new or difficult. - Class</v>
      </c>
      <c r="C83" s="35" t="s">
        <v>1230</v>
      </c>
    </row>
    <row r="84" spans="1:3">
      <c r="A84" s="35" t="s">
        <v>329</v>
      </c>
      <c r="B84" s="35" t="str">
        <f>_xlfn._LONGTEXT("Consider your current your beliefs and values as you enter the course. These questions ask about how you see yourself as a learner and professional, how you relate to the goals of this course, and how willing you are to face challenges when learning somet","hing new or difficult. - ")&amp;RIGHT(A84,LEN(A84)-(FIND("_",A84,5)))</f>
        <v>Consider your current your beliefs and values as you enter the course. These questions ask about how you see yourself as a learner and professional, how you relate to the goals of this course, and how willing you are to face challenges when learning something new or difficult. - TimeMgmt</v>
      </c>
      <c r="C84" s="35" t="s">
        <v>1231</v>
      </c>
    </row>
    <row r="85" spans="1:3">
      <c r="A85" s="35" t="s">
        <v>330</v>
      </c>
      <c r="B85" s="35" t="str">
        <f t="shared" ref="B85:B94" si="7">_xlfn._LONGTEXT("Consider your current your beliefs and values as you enter the course. These questions ask about how you see yourself as a learner and professional, how you relate to the goals of this course, and how willing you are to face challenges when learning somet","hing new or difficult. - ")&amp;RIGHT(A85,LEN(A85)-(FIND("_",A85,5)))</f>
        <v>Consider your current your beliefs and values as you enter the course. These questions ask about how you see yourself as a learner and professional, how you relate to the goals of this course, and how willing you are to face challenges when learning something new or difficult. - ClassParticipate</v>
      </c>
      <c r="C85" s="35" t="s">
        <v>1232</v>
      </c>
    </row>
    <row r="86" spans="1:3">
      <c r="A86" s="35" t="s">
        <v>331</v>
      </c>
      <c r="B86" s="35" t="str">
        <f t="shared" si="7"/>
        <v>Consider your current your beliefs and values as you enter the course. These questions ask about how you see yourself as a learner and professional, how you relate to the goals of this course, and how willing you are to face challenges when learning something new or difficult. - SelfEfficacy</v>
      </c>
      <c r="C86" s="35" t="s">
        <v>1233</v>
      </c>
    </row>
    <row r="87" spans="1:3">
      <c r="A87" s="35" t="s">
        <v>332</v>
      </c>
      <c r="B87" s="35" t="str">
        <f t="shared" si="7"/>
        <v>Consider your current your beliefs and values as you enter the course. These questions ask about how you see yourself as a learner and professional, how you relate to the goals of this course, and how willing you are to face challenges when learning something new or difficult. - HandleChallenge</v>
      </c>
      <c r="C87" s="35" t="s">
        <v>1234</v>
      </c>
    </row>
    <row r="88" spans="1:3">
      <c r="A88" s="35" t="s">
        <v>333</v>
      </c>
      <c r="B88" s="35" t="str">
        <f t="shared" si="7"/>
        <v>Consider your current your beliefs and values as you enter the course. These questions ask about how you see yourself as a learner and professional, how you relate to the goals of this course, and how willing you are to face challenges when learning something new or difficult. - GrowthMindset</v>
      </c>
      <c r="C88" s="35" t="s">
        <v>1235</v>
      </c>
    </row>
    <row r="89" spans="1:3">
      <c r="A89" s="35" t="s">
        <v>334</v>
      </c>
      <c r="B89" s="35" t="str">
        <f t="shared" si="7"/>
        <v>Consider your current your beliefs and values as you enter the course. These questions ask about how you see yourself as a learner and professional, how you relate to the goals of this course, and how willing you are to face challenges when learning something new or difficult. - CapableUnderstanding</v>
      </c>
      <c r="C89" s="35" t="s">
        <v>1236</v>
      </c>
    </row>
    <row r="90" spans="1:3">
      <c r="A90" s="35" t="s">
        <v>335</v>
      </c>
      <c r="B90" s="35" t="str">
        <f t="shared" si="7"/>
        <v>Consider your current your beliefs and values as you enter the course. These questions ask about how you see yourself as a learner and professional, how you relate to the goals of this course, and how willing you are to face challenges when learning something new or difficult. - EntreDailyLife</v>
      </c>
      <c r="C90" s="35" t="s">
        <v>1237</v>
      </c>
    </row>
    <row r="91" spans="1:3">
      <c r="A91" s="35" t="s">
        <v>336</v>
      </c>
      <c r="B91" s="35" t="str">
        <f t="shared" si="7"/>
        <v>Consider your current your beliefs and values as you enter the course. These questions ask about how you see yourself as a learner and professional, how you relate to the goals of this course, and how willing you are to face challenges when learning something new or difficult. - EntreInterest</v>
      </c>
      <c r="C91" s="35" t="s">
        <v>1238</v>
      </c>
    </row>
    <row r="92" spans="1:3">
      <c r="A92" s="35" t="s">
        <v>337</v>
      </c>
      <c r="B92" s="35" t="str">
        <f t="shared" si="7"/>
        <v>Consider your current your beliefs and values as you enter the course. These questions ask about how you see yourself as a learner and professional, how you relate to the goals of this course, and how willing you are to face challenges when learning something new or difficult. - CourseHelpsFuture</v>
      </c>
      <c r="C92" s="35" t="s">
        <v>1239</v>
      </c>
    </row>
    <row r="93" spans="1:3">
      <c r="A93" s="35" t="s">
        <v>338</v>
      </c>
      <c r="B93" s="35" t="str">
        <f t="shared" si="7"/>
        <v>Consider your current your beliefs and values as you enter the course. These questions ask about how you see yourself as a learner and professional, how you relate to the goals of this course, and how willing you are to face challenges when learning something new or difficult. - GoalCompletion</v>
      </c>
      <c r="C93" s="35" t="s">
        <v>1240</v>
      </c>
    </row>
    <row r="94" spans="1:3">
      <c r="A94" s="35" t="s">
        <v>339</v>
      </c>
      <c r="B94" s="35" t="str">
        <f t="shared" si="7"/>
        <v>Consider your current your beliefs and values as you enter the course. These questions ask about how you see yourself as a learner and professional, how you relate to the goals of this course, and how willing you are to face challenges when learning something new or difficult. - OvercameSetbacks</v>
      </c>
      <c r="C94" s="35" t="s">
        <v>1241</v>
      </c>
    </row>
    <row r="95" spans="1:3">
      <c r="A95" s="35" t="s">
        <v>340</v>
      </c>
      <c r="B95" s="35" t="s">
        <v>1242</v>
      </c>
    </row>
    <row r="96" spans="1:3">
      <c r="A96" s="35" t="s">
        <v>341</v>
      </c>
      <c r="B96" s="35" t="s">
        <v>1243</v>
      </c>
    </row>
    <row r="97" spans="1:2">
      <c r="A97" s="35" t="s">
        <v>342</v>
      </c>
      <c r="B97" s="35" t="s">
        <v>1244</v>
      </c>
    </row>
    <row r="98" spans="1:2">
      <c r="A98" s="35" t="s">
        <v>343</v>
      </c>
      <c r="B98" s="35" t="s">
        <v>1245</v>
      </c>
    </row>
    <row r="99" spans="1:2">
      <c r="A99" s="35" t="s">
        <v>344</v>
      </c>
      <c r="B99" s="35" t="s">
        <v>1246</v>
      </c>
    </row>
    <row r="100" spans="1:2">
      <c r="A100" s="35" t="s">
        <v>345</v>
      </c>
      <c r="B100" s="35" t="s">
        <v>1247</v>
      </c>
    </row>
    <row r="101" spans="1:2">
      <c r="A101" s="35" t="s">
        <v>346</v>
      </c>
      <c r="B101" s="35" t="s">
        <v>1248</v>
      </c>
    </row>
    <row r="102" spans="1:2">
      <c r="A102" s="35" t="s">
        <v>347</v>
      </c>
      <c r="B102" s="35" t="s">
        <v>1249</v>
      </c>
    </row>
    <row r="103" spans="1:2">
      <c r="A103" s="35" t="s">
        <v>348</v>
      </c>
      <c r="B103" s="35" t="s">
        <v>1250</v>
      </c>
    </row>
    <row r="104" spans="1:2">
      <c r="A104" s="35" t="s">
        <v>349</v>
      </c>
      <c r="B104" s="35" t="s">
        <v>1251</v>
      </c>
    </row>
    <row r="105" spans="1:2">
      <c r="A105" s="35" t="s">
        <v>350</v>
      </c>
      <c r="B105" s="35" t="s">
        <v>1252</v>
      </c>
    </row>
    <row r="106" spans="1:2">
      <c r="A106" s="35" t="s">
        <v>351</v>
      </c>
      <c r="B106" s="35" t="s">
        <v>1253</v>
      </c>
    </row>
    <row r="107" spans="1:2">
      <c r="A107" s="35" t="s">
        <v>352</v>
      </c>
      <c r="B107" s="35" t="s">
        <v>1254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810A5-3190-46F2-B153-49166D90BE38}">
  <dimension ref="A1:D143"/>
  <sheetViews>
    <sheetView zoomScale="85" zoomScaleNormal="85" workbookViewId="0"/>
  </sheetViews>
  <sheetFormatPr defaultColWidth="9.140625" defaultRowHeight="15"/>
  <cols>
    <col min="1" max="1" width="9.140625" style="48"/>
    <col min="2" max="2" width="32.85546875" style="48" customWidth="1"/>
    <col min="3" max="3" width="19.140625" style="49" customWidth="1"/>
    <col min="4" max="4" width="31" style="49" customWidth="1"/>
    <col min="5" max="16384" width="9.140625" style="48"/>
  </cols>
  <sheetData>
    <row r="1" spans="1:4" ht="30">
      <c r="A1" s="8" t="s">
        <v>353</v>
      </c>
      <c r="B1" s="9" t="s">
        <v>354</v>
      </c>
      <c r="C1" s="9" t="s">
        <v>355</v>
      </c>
      <c r="D1" s="9" t="s">
        <v>356</v>
      </c>
    </row>
    <row r="2" spans="1:4">
      <c r="A2" s="8"/>
      <c r="B2" s="17" t="s">
        <v>357</v>
      </c>
      <c r="C2" s="9"/>
      <c r="D2" s="9"/>
    </row>
    <row r="3" spans="1:4">
      <c r="A3">
        <v>0</v>
      </c>
      <c r="B3" s="5" t="s">
        <v>358</v>
      </c>
      <c r="C3" s="9"/>
      <c r="D3" s="9"/>
    </row>
    <row r="4" spans="1:4">
      <c r="A4">
        <v>1</v>
      </c>
      <c r="B4" s="5" t="s">
        <v>359</v>
      </c>
      <c r="C4" s="9"/>
      <c r="D4" s="9"/>
    </row>
    <row r="5" spans="1:4">
      <c r="A5">
        <v>2</v>
      </c>
      <c r="B5" s="6" t="s">
        <v>360</v>
      </c>
      <c r="C5" s="9"/>
      <c r="D5" s="9"/>
    </row>
    <row r="6" spans="1:4">
      <c r="A6">
        <v>3</v>
      </c>
      <c r="B6" s="6" t="s">
        <v>361</v>
      </c>
      <c r="C6" s="9"/>
      <c r="D6" s="9"/>
    </row>
    <row r="7" spans="1:4">
      <c r="A7">
        <v>4</v>
      </c>
      <c r="B7" s="6" t="s">
        <v>362</v>
      </c>
      <c r="C7" s="9"/>
      <c r="D7" s="9"/>
    </row>
    <row r="8" spans="1:4">
      <c r="A8">
        <v>5</v>
      </c>
      <c r="B8" s="6" t="s">
        <v>363</v>
      </c>
      <c r="C8" s="9"/>
      <c r="D8" s="9"/>
    </row>
    <row r="9" spans="1:4" ht="30">
      <c r="A9" s="8"/>
      <c r="B9" s="17" t="s">
        <v>357</v>
      </c>
      <c r="C9" s="49" t="s">
        <v>364</v>
      </c>
    </row>
    <row r="10" spans="1:4">
      <c r="A10" s="48">
        <v>0</v>
      </c>
      <c r="B10" s="48" t="s">
        <v>365</v>
      </c>
    </row>
    <row r="11" spans="1:4">
      <c r="A11" s="48">
        <v>1</v>
      </c>
      <c r="B11" s="48" t="s">
        <v>366</v>
      </c>
    </row>
    <row r="12" spans="1:4">
      <c r="A12" s="48">
        <v>2</v>
      </c>
      <c r="B12" s="48" t="s">
        <v>367</v>
      </c>
    </row>
    <row r="13" spans="1:4">
      <c r="A13" s="48">
        <v>3</v>
      </c>
      <c r="B13" s="48" t="s">
        <v>368</v>
      </c>
    </row>
    <row r="14" spans="1:4">
      <c r="A14" s="48">
        <v>4</v>
      </c>
      <c r="B14" s="48" t="s">
        <v>369</v>
      </c>
    </row>
    <row r="15" spans="1:4">
      <c r="A15" s="48">
        <v>5</v>
      </c>
      <c r="B15" s="48" t="s">
        <v>370</v>
      </c>
    </row>
    <row r="17" spans="1:4" ht="30">
      <c r="A17" s="8"/>
      <c r="B17" s="17" t="s">
        <v>371</v>
      </c>
      <c r="C17" s="49" t="s">
        <v>364</v>
      </c>
    </row>
    <row r="18" spans="1:4">
      <c r="A18" s="50">
        <v>0</v>
      </c>
      <c r="B18" s="51" t="s">
        <v>365</v>
      </c>
    </row>
    <row r="19" spans="1:4">
      <c r="A19" s="48">
        <v>1</v>
      </c>
      <c r="B19" s="48" t="s">
        <v>372</v>
      </c>
    </row>
    <row r="20" spans="1:4">
      <c r="A20" s="48">
        <v>2</v>
      </c>
      <c r="B20" s="48" t="s">
        <v>373</v>
      </c>
    </row>
    <row r="21" spans="1:4">
      <c r="A21" s="48">
        <v>3</v>
      </c>
      <c r="B21" s="48" t="s">
        <v>374</v>
      </c>
    </row>
    <row r="22" spans="1:4">
      <c r="A22" s="48">
        <v>4</v>
      </c>
      <c r="B22" s="48" t="s">
        <v>375</v>
      </c>
    </row>
    <row r="23" spans="1:4">
      <c r="A23" s="48">
        <v>5</v>
      </c>
      <c r="B23" s="48" t="s">
        <v>376</v>
      </c>
    </row>
    <row r="25" spans="1:4" ht="75">
      <c r="B25" s="52" t="s">
        <v>377</v>
      </c>
      <c r="C25" s="49" t="s">
        <v>378</v>
      </c>
      <c r="D25" s="49" t="s">
        <v>379</v>
      </c>
    </row>
    <row r="26" spans="1:4" ht="30">
      <c r="A26" s="48" t="s">
        <v>380</v>
      </c>
      <c r="B26" s="49" t="s">
        <v>381</v>
      </c>
    </row>
    <row r="27" spans="1:4" ht="30">
      <c r="A27" s="48" t="s">
        <v>382</v>
      </c>
      <c r="B27" s="49" t="s">
        <v>383</v>
      </c>
    </row>
    <row r="28" spans="1:4" ht="30">
      <c r="A28" s="48" t="s">
        <v>380</v>
      </c>
      <c r="B28" s="49" t="s">
        <v>384</v>
      </c>
    </row>
    <row r="29" spans="1:4" ht="30">
      <c r="A29" s="48" t="s">
        <v>380</v>
      </c>
      <c r="B29" s="49" t="s">
        <v>385</v>
      </c>
    </row>
    <row r="30" spans="1:4">
      <c r="A30" s="48" t="s">
        <v>386</v>
      </c>
      <c r="B30" s="49" t="s">
        <v>387</v>
      </c>
    </row>
    <row r="32" spans="1:4" ht="30">
      <c r="B32" s="17" t="s">
        <v>388</v>
      </c>
      <c r="C32" s="49" t="s">
        <v>389</v>
      </c>
    </row>
    <row r="33" spans="1:4">
      <c r="A33" s="48">
        <v>0</v>
      </c>
      <c r="B33" s="48" t="s">
        <v>365</v>
      </c>
    </row>
    <row r="34" spans="1:4">
      <c r="A34" s="48">
        <v>1</v>
      </c>
      <c r="B34" s="48" t="s">
        <v>390</v>
      </c>
      <c r="D34" s="48"/>
    </row>
    <row r="35" spans="1:4">
      <c r="A35" s="48">
        <v>2</v>
      </c>
      <c r="B35" s="48" t="s">
        <v>391</v>
      </c>
      <c r="D35" s="48"/>
    </row>
    <row r="36" spans="1:4">
      <c r="A36" s="48">
        <v>3</v>
      </c>
      <c r="B36" s="48" t="s">
        <v>392</v>
      </c>
      <c r="D36" s="48"/>
    </row>
    <row r="38" spans="1:4" ht="30">
      <c r="B38" s="17" t="s">
        <v>393</v>
      </c>
      <c r="C38" s="49" t="s">
        <v>394</v>
      </c>
    </row>
    <row r="39" spans="1:4">
      <c r="A39" s="48">
        <v>0</v>
      </c>
      <c r="B39" s="48" t="s">
        <v>365</v>
      </c>
    </row>
    <row r="40" spans="1:4">
      <c r="A40" s="48">
        <v>1</v>
      </c>
      <c r="B40" s="48" t="s">
        <v>395</v>
      </c>
    </row>
    <row r="41" spans="1:4">
      <c r="A41" s="48">
        <v>2</v>
      </c>
      <c r="B41" s="48" t="s">
        <v>396</v>
      </c>
    </row>
    <row r="42" spans="1:4">
      <c r="A42" s="48">
        <v>3</v>
      </c>
      <c r="B42" s="48" t="s">
        <v>361</v>
      </c>
    </row>
    <row r="43" spans="1:4">
      <c r="A43" s="48">
        <v>4</v>
      </c>
      <c r="B43" s="48" t="s">
        <v>397</v>
      </c>
    </row>
    <row r="44" spans="1:4">
      <c r="A44" s="48">
        <v>5</v>
      </c>
      <c r="B44" s="48" t="s">
        <v>398</v>
      </c>
    </row>
    <row r="46" spans="1:4" ht="90">
      <c r="B46" s="17" t="s">
        <v>399</v>
      </c>
      <c r="C46" s="49" t="s">
        <v>400</v>
      </c>
      <c r="D46" s="49" t="s">
        <v>401</v>
      </c>
    </row>
    <row r="47" spans="1:4">
      <c r="A47" s="48">
        <v>0</v>
      </c>
      <c r="B47" s="48" t="s">
        <v>365</v>
      </c>
    </row>
    <row r="48" spans="1:4">
      <c r="A48" s="48">
        <v>1</v>
      </c>
      <c r="B48" s="48" t="s">
        <v>402</v>
      </c>
      <c r="D48" s="48"/>
    </row>
    <row r="49" spans="1:4">
      <c r="A49" s="48">
        <v>2</v>
      </c>
      <c r="B49" s="48" t="s">
        <v>403</v>
      </c>
      <c r="D49" s="48"/>
    </row>
    <row r="50" spans="1:4">
      <c r="A50" s="48">
        <v>3</v>
      </c>
      <c r="B50" s="48" t="s">
        <v>404</v>
      </c>
      <c r="D50" s="48"/>
    </row>
    <row r="51" spans="1:4">
      <c r="A51" s="48">
        <v>4</v>
      </c>
      <c r="B51" s="48" t="s">
        <v>405</v>
      </c>
      <c r="D51" s="48"/>
    </row>
    <row r="53" spans="1:4" ht="30">
      <c r="B53" s="17" t="s">
        <v>406</v>
      </c>
      <c r="C53" s="49" t="s">
        <v>407</v>
      </c>
    </row>
    <row r="54" spans="1:4">
      <c r="A54" s="48">
        <v>0</v>
      </c>
      <c r="B54" s="48" t="s">
        <v>365</v>
      </c>
    </row>
    <row r="55" spans="1:4">
      <c r="A55" s="48">
        <v>1</v>
      </c>
      <c r="B55" s="48" t="s">
        <v>408</v>
      </c>
    </row>
    <row r="56" spans="1:4">
      <c r="A56" s="48">
        <v>2</v>
      </c>
      <c r="B56" s="48" t="s">
        <v>409</v>
      </c>
    </row>
    <row r="57" spans="1:4">
      <c r="A57" s="48">
        <v>3</v>
      </c>
      <c r="B57" s="48" t="s">
        <v>410</v>
      </c>
    </row>
    <row r="58" spans="1:4">
      <c r="A58" s="48">
        <v>4</v>
      </c>
      <c r="B58" s="48" t="s">
        <v>411</v>
      </c>
    </row>
    <row r="59" spans="1:4">
      <c r="A59" s="48">
        <v>5</v>
      </c>
      <c r="B59" s="48" t="s">
        <v>412</v>
      </c>
    </row>
    <row r="61" spans="1:4" ht="90">
      <c r="B61" s="17" t="s">
        <v>413</v>
      </c>
      <c r="C61" s="49" t="s">
        <v>400</v>
      </c>
      <c r="D61" s="49" t="s">
        <v>401</v>
      </c>
    </row>
    <row r="62" spans="1:4">
      <c r="A62" s="48">
        <v>0</v>
      </c>
      <c r="B62" s="48" t="s">
        <v>365</v>
      </c>
    </row>
    <row r="63" spans="1:4">
      <c r="A63" s="48">
        <v>1</v>
      </c>
      <c r="B63" s="48" t="s">
        <v>414</v>
      </c>
      <c r="D63" s="48"/>
    </row>
    <row r="64" spans="1:4">
      <c r="A64" s="48">
        <v>2</v>
      </c>
      <c r="B64" s="48" t="s">
        <v>415</v>
      </c>
      <c r="D64" s="48"/>
    </row>
    <row r="65" spans="1:4">
      <c r="A65" s="48">
        <v>3</v>
      </c>
      <c r="B65" s="48" t="s">
        <v>416</v>
      </c>
      <c r="D65" s="48"/>
    </row>
    <row r="66" spans="1:4">
      <c r="A66" s="48">
        <v>4</v>
      </c>
      <c r="B66" s="48" t="s">
        <v>417</v>
      </c>
      <c r="D66" s="48"/>
    </row>
    <row r="67" spans="1:4">
      <c r="A67" s="48">
        <v>5</v>
      </c>
      <c r="B67" s="48" t="s">
        <v>418</v>
      </c>
      <c r="D67" s="48"/>
    </row>
    <row r="69" spans="1:4">
      <c r="B69" s="17" t="s">
        <v>419</v>
      </c>
    </row>
    <row r="70" spans="1:4">
      <c r="A70" s="48">
        <v>0</v>
      </c>
      <c r="B70" s="48" t="s">
        <v>365</v>
      </c>
    </row>
    <row r="71" spans="1:4">
      <c r="A71" s="48">
        <v>1</v>
      </c>
      <c r="B71" s="49" t="s">
        <v>420</v>
      </c>
      <c r="D71" s="48"/>
    </row>
    <row r="72" spans="1:4">
      <c r="A72" s="48">
        <v>2</v>
      </c>
      <c r="B72" s="49" t="s">
        <v>421</v>
      </c>
      <c r="D72" s="48"/>
    </row>
    <row r="73" spans="1:4">
      <c r="A73" s="48">
        <v>3</v>
      </c>
      <c r="B73" s="49" t="s">
        <v>422</v>
      </c>
      <c r="D73" s="48"/>
    </row>
    <row r="74" spans="1:4">
      <c r="A74" s="48">
        <v>4</v>
      </c>
      <c r="B74" s="49" t="s">
        <v>423</v>
      </c>
      <c r="D74" s="48"/>
    </row>
    <row r="75" spans="1:4">
      <c r="A75" s="48">
        <v>5</v>
      </c>
      <c r="B75" s="49" t="s">
        <v>424</v>
      </c>
      <c r="D75" s="48"/>
    </row>
    <row r="76" spans="1:4" ht="30">
      <c r="A76" s="48">
        <v>6</v>
      </c>
      <c r="B76" s="49" t="s">
        <v>425</v>
      </c>
      <c r="D76" s="48"/>
    </row>
    <row r="77" spans="1:4">
      <c r="A77" s="48">
        <v>7</v>
      </c>
      <c r="B77" s="49" t="s">
        <v>426</v>
      </c>
      <c r="D77" s="48"/>
    </row>
    <row r="79" spans="1:4" ht="30">
      <c r="B79" s="17" t="s">
        <v>427</v>
      </c>
      <c r="C79" s="49" t="s">
        <v>428</v>
      </c>
      <c r="D79" s="49" t="s">
        <v>429</v>
      </c>
    </row>
    <row r="80" spans="1:4" ht="45">
      <c r="A80" s="8">
        <v>1</v>
      </c>
      <c r="B80" s="9" t="s">
        <v>430</v>
      </c>
    </row>
    <row r="81" spans="1:2">
      <c r="A81" s="48">
        <v>0</v>
      </c>
      <c r="B81" s="6" t="s">
        <v>431</v>
      </c>
    </row>
    <row r="82" spans="1:2">
      <c r="A82" s="48">
        <v>0</v>
      </c>
      <c r="B82" s="6" t="s">
        <v>432</v>
      </c>
    </row>
    <row r="83" spans="1:2">
      <c r="A83" s="48">
        <v>0</v>
      </c>
      <c r="B83" s="6" t="s">
        <v>433</v>
      </c>
    </row>
    <row r="85" spans="1:2">
      <c r="B85" s="17" t="s">
        <v>434</v>
      </c>
    </row>
    <row r="86" spans="1:2">
      <c r="A86" s="48">
        <v>0</v>
      </c>
      <c r="B86" s="48" t="s">
        <v>435</v>
      </c>
    </row>
    <row r="87" spans="1:2">
      <c r="A87" s="48">
        <v>0</v>
      </c>
      <c r="B87" s="48" t="s">
        <v>436</v>
      </c>
    </row>
    <row r="88" spans="1:2">
      <c r="A88" s="48">
        <v>0</v>
      </c>
      <c r="B88" s="48" t="s">
        <v>437</v>
      </c>
    </row>
    <row r="89" spans="1:2">
      <c r="A89" s="8">
        <v>1</v>
      </c>
      <c r="B89" s="8" t="s">
        <v>438</v>
      </c>
    </row>
    <row r="91" spans="1:2">
      <c r="B91" s="17" t="s">
        <v>439</v>
      </c>
    </row>
    <row r="92" spans="1:2">
      <c r="A92" s="48">
        <v>0</v>
      </c>
      <c r="B92" s="6" t="s">
        <v>440</v>
      </c>
    </row>
    <row r="93" spans="1:2">
      <c r="A93" s="48">
        <v>0</v>
      </c>
      <c r="B93" s="16" t="s">
        <v>441</v>
      </c>
    </row>
    <row r="94" spans="1:2">
      <c r="A94" s="48">
        <v>0</v>
      </c>
      <c r="B94" s="6" t="s">
        <v>442</v>
      </c>
    </row>
    <row r="95" spans="1:2">
      <c r="A95" s="48">
        <v>1</v>
      </c>
      <c r="B95" s="53" t="s">
        <v>443</v>
      </c>
    </row>
    <row r="97" spans="1:2">
      <c r="B97" s="17" t="s">
        <v>444</v>
      </c>
    </row>
    <row r="98" spans="1:2">
      <c r="A98" s="48">
        <v>0</v>
      </c>
      <c r="B98" s="6" t="s">
        <v>445</v>
      </c>
    </row>
    <row r="99" spans="1:2">
      <c r="A99" s="48">
        <v>0</v>
      </c>
      <c r="B99" s="16" t="s">
        <v>446</v>
      </c>
    </row>
    <row r="100" spans="1:2">
      <c r="A100" s="48">
        <v>1</v>
      </c>
      <c r="B100" s="53" t="s">
        <v>447</v>
      </c>
    </row>
    <row r="101" spans="1:2">
      <c r="A101" s="48">
        <v>0</v>
      </c>
      <c r="B101" s="6" t="s">
        <v>448</v>
      </c>
    </row>
    <row r="103" spans="1:2">
      <c r="B103" s="17" t="s">
        <v>449</v>
      </c>
    </row>
    <row r="104" spans="1:2">
      <c r="A104" s="48">
        <v>0</v>
      </c>
      <c r="B104" s="6" t="s">
        <v>450</v>
      </c>
    </row>
    <row r="105" spans="1:2" ht="45">
      <c r="A105" s="48">
        <v>0</v>
      </c>
      <c r="B105" s="6" t="s">
        <v>451</v>
      </c>
    </row>
    <row r="106" spans="1:2">
      <c r="A106" s="48">
        <v>1</v>
      </c>
      <c r="B106" s="53" t="s">
        <v>452</v>
      </c>
    </row>
    <row r="107" spans="1:2">
      <c r="A107" s="48">
        <v>0</v>
      </c>
      <c r="B107" s="6" t="s">
        <v>453</v>
      </c>
    </row>
    <row r="109" spans="1:2">
      <c r="B109" s="17" t="s">
        <v>454</v>
      </c>
    </row>
    <row r="110" spans="1:2" ht="30">
      <c r="A110" s="48">
        <v>1</v>
      </c>
      <c r="B110" s="53" t="s">
        <v>455</v>
      </c>
    </row>
    <row r="111" spans="1:2" ht="30">
      <c r="A111" s="48">
        <v>0</v>
      </c>
      <c r="B111" s="6" t="s">
        <v>456</v>
      </c>
    </row>
    <row r="112" spans="1:2" ht="30">
      <c r="A112" s="48">
        <v>0</v>
      </c>
      <c r="B112" s="6" t="s">
        <v>457</v>
      </c>
    </row>
    <row r="113" spans="1:2" ht="30">
      <c r="A113" s="48">
        <v>0</v>
      </c>
      <c r="B113" s="6" t="s">
        <v>458</v>
      </c>
    </row>
    <row r="115" spans="1:2">
      <c r="B115" s="17" t="s">
        <v>459</v>
      </c>
    </row>
    <row r="116" spans="1:2">
      <c r="A116" s="48">
        <v>1</v>
      </c>
      <c r="B116" s="53" t="s">
        <v>460</v>
      </c>
    </row>
    <row r="117" spans="1:2">
      <c r="A117" s="48">
        <v>0</v>
      </c>
      <c r="B117" s="6" t="s">
        <v>461</v>
      </c>
    </row>
    <row r="118" spans="1:2">
      <c r="A118" s="48">
        <v>0</v>
      </c>
      <c r="B118" s="6" t="s">
        <v>462</v>
      </c>
    </row>
    <row r="119" spans="1:2">
      <c r="A119" s="48">
        <v>0</v>
      </c>
      <c r="B119" s="6" t="s">
        <v>463</v>
      </c>
    </row>
    <row r="121" spans="1:2">
      <c r="B121" s="17" t="s">
        <v>464</v>
      </c>
    </row>
    <row r="122" spans="1:2">
      <c r="A122" s="48">
        <v>0</v>
      </c>
      <c r="B122" s="6" t="s">
        <v>465</v>
      </c>
    </row>
    <row r="123" spans="1:2" ht="30">
      <c r="A123" s="48">
        <v>1</v>
      </c>
      <c r="B123" s="53" t="s">
        <v>466</v>
      </c>
    </row>
    <row r="124" spans="1:2">
      <c r="A124" s="48">
        <v>0</v>
      </c>
      <c r="B124" s="6" t="s">
        <v>467</v>
      </c>
    </row>
    <row r="125" spans="1:2">
      <c r="A125" s="48">
        <v>0</v>
      </c>
      <c r="B125" s="6" t="s">
        <v>468</v>
      </c>
    </row>
    <row r="127" spans="1:2">
      <c r="B127" s="17" t="s">
        <v>469</v>
      </c>
    </row>
    <row r="128" spans="1:2">
      <c r="A128" s="48">
        <v>0</v>
      </c>
      <c r="B128" s="6" t="s">
        <v>470</v>
      </c>
    </row>
    <row r="129" spans="1:2">
      <c r="A129" s="48">
        <v>1</v>
      </c>
      <c r="B129" s="53" t="s">
        <v>471</v>
      </c>
    </row>
    <row r="130" spans="1:2">
      <c r="A130" s="48">
        <v>0</v>
      </c>
      <c r="B130" s="6" t="s">
        <v>472</v>
      </c>
    </row>
    <row r="131" spans="1:2">
      <c r="A131" s="48">
        <v>0</v>
      </c>
      <c r="B131" s="6" t="s">
        <v>473</v>
      </c>
    </row>
    <row r="133" spans="1:2">
      <c r="B133" s="17" t="s">
        <v>474</v>
      </c>
    </row>
    <row r="134" spans="1:2">
      <c r="A134" s="48">
        <v>0</v>
      </c>
      <c r="B134" s="16" t="s">
        <v>475</v>
      </c>
    </row>
    <row r="135" spans="1:2">
      <c r="A135" s="48">
        <v>0</v>
      </c>
      <c r="B135" s="6" t="s">
        <v>476</v>
      </c>
    </row>
    <row r="136" spans="1:2">
      <c r="A136" s="48">
        <v>1</v>
      </c>
      <c r="B136" s="53" t="s">
        <v>477</v>
      </c>
    </row>
    <row r="137" spans="1:2">
      <c r="A137" s="48">
        <v>0</v>
      </c>
      <c r="B137" s="6" t="s">
        <v>478</v>
      </c>
    </row>
    <row r="139" spans="1:2">
      <c r="B139" s="17" t="s">
        <v>479</v>
      </c>
    </row>
    <row r="140" spans="1:2">
      <c r="A140" s="48">
        <v>0</v>
      </c>
      <c r="B140" s="6" t="s">
        <v>480</v>
      </c>
    </row>
    <row r="141" spans="1:2">
      <c r="A141" s="48">
        <v>1</v>
      </c>
      <c r="B141" s="53" t="s">
        <v>481</v>
      </c>
    </row>
    <row r="142" spans="1:2">
      <c r="A142" s="48">
        <v>0</v>
      </c>
      <c r="B142" s="6" t="s">
        <v>482</v>
      </c>
    </row>
    <row r="143" spans="1:2">
      <c r="A143" s="48">
        <v>0</v>
      </c>
      <c r="B143" s="6" t="s">
        <v>483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25B0A-09AB-40BC-B99B-D2E26EC91B1F}">
  <dimension ref="A1:DF45"/>
  <sheetViews>
    <sheetView zoomScale="90" zoomScaleNormal="90" workbookViewId="0">
      <selection activeCell="A2" sqref="A2"/>
    </sheetView>
  </sheetViews>
  <sheetFormatPr defaultColWidth="9.140625" defaultRowHeight="15"/>
  <sheetData>
    <row r="1" spans="1:110" s="56" customFormat="1">
      <c r="A1" s="36" t="s">
        <v>1319</v>
      </c>
      <c r="B1" s="36" t="s">
        <v>1196</v>
      </c>
      <c r="C1" s="54" t="s">
        <v>251</v>
      </c>
      <c r="D1" s="54" t="s">
        <v>252</v>
      </c>
      <c r="E1" s="54" t="s">
        <v>253</v>
      </c>
      <c r="F1" s="55" t="s">
        <v>254</v>
      </c>
      <c r="G1" s="55" t="s">
        <v>1343</v>
      </c>
      <c r="H1" s="55" t="s">
        <v>255</v>
      </c>
      <c r="I1" s="55" t="s">
        <v>256</v>
      </c>
      <c r="J1" s="55" t="s">
        <v>257</v>
      </c>
      <c r="K1" s="54" t="s">
        <v>258</v>
      </c>
      <c r="L1" s="54" t="s">
        <v>259</v>
      </c>
      <c r="M1" s="54" t="s">
        <v>260</v>
      </c>
      <c r="N1" s="54" t="s">
        <v>261</v>
      </c>
      <c r="O1" s="54" t="s">
        <v>262</v>
      </c>
      <c r="P1" s="54" t="s">
        <v>263</v>
      </c>
      <c r="Q1" s="54" t="s">
        <v>264</v>
      </c>
      <c r="R1" s="54" t="s">
        <v>265</v>
      </c>
      <c r="S1" s="54" t="s">
        <v>266</v>
      </c>
      <c r="T1" s="54" t="s">
        <v>267</v>
      </c>
      <c r="U1" s="54" t="s">
        <v>268</v>
      </c>
      <c r="V1" s="54" t="s">
        <v>269</v>
      </c>
      <c r="W1" s="54" t="s">
        <v>270</v>
      </c>
      <c r="X1" s="54" t="s">
        <v>271</v>
      </c>
      <c r="Y1" s="54" t="s">
        <v>272</v>
      </c>
      <c r="Z1" s="54" t="s">
        <v>273</v>
      </c>
      <c r="AA1" s="54" t="s">
        <v>274</v>
      </c>
      <c r="AB1" s="54" t="s">
        <v>275</v>
      </c>
      <c r="AC1" s="54" t="s">
        <v>276</v>
      </c>
      <c r="AD1" s="54" t="s">
        <v>277</v>
      </c>
      <c r="AE1" s="54" t="s">
        <v>278</v>
      </c>
      <c r="AF1" s="54" t="s">
        <v>279</v>
      </c>
      <c r="AG1" s="54" t="s">
        <v>280</v>
      </c>
      <c r="AH1" s="54" t="s">
        <v>281</v>
      </c>
      <c r="AI1" s="54" t="s">
        <v>282</v>
      </c>
      <c r="AJ1" s="54" t="s">
        <v>283</v>
      </c>
      <c r="AK1" s="54" t="s">
        <v>284</v>
      </c>
      <c r="AL1" s="54" t="s">
        <v>285</v>
      </c>
      <c r="AM1" s="54" t="s">
        <v>286</v>
      </c>
      <c r="AN1" s="54" t="s">
        <v>287</v>
      </c>
      <c r="AO1" s="54" t="s">
        <v>288</v>
      </c>
      <c r="AP1" s="54" t="s">
        <v>289</v>
      </c>
      <c r="AQ1" s="54" t="s">
        <v>290</v>
      </c>
      <c r="AR1" s="54" t="s">
        <v>291</v>
      </c>
      <c r="AS1" s="54" t="s">
        <v>292</v>
      </c>
      <c r="AT1" s="54" t="s">
        <v>293</v>
      </c>
      <c r="AU1" s="54" t="s">
        <v>294</v>
      </c>
      <c r="AV1" s="54" t="s">
        <v>295</v>
      </c>
      <c r="AW1" s="54" t="s">
        <v>296</v>
      </c>
      <c r="AX1" s="54" t="s">
        <v>297</v>
      </c>
      <c r="AY1" s="54" t="s">
        <v>298</v>
      </c>
      <c r="AZ1" s="54" t="s">
        <v>299</v>
      </c>
      <c r="BA1" s="54" t="s">
        <v>300</v>
      </c>
      <c r="BB1" s="54" t="s">
        <v>301</v>
      </c>
      <c r="BC1" s="54" t="s">
        <v>302</v>
      </c>
      <c r="BD1" s="54" t="s">
        <v>303</v>
      </c>
      <c r="BE1" s="54" t="s">
        <v>304</v>
      </c>
      <c r="BF1" s="54" t="s">
        <v>305</v>
      </c>
      <c r="BG1" s="54" t="s">
        <v>306</v>
      </c>
      <c r="BH1" s="54" t="s">
        <v>307</v>
      </c>
      <c r="BI1" s="54" t="s">
        <v>308</v>
      </c>
      <c r="BJ1" s="54" t="s">
        <v>309</v>
      </c>
      <c r="BK1" s="54" t="s">
        <v>310</v>
      </c>
      <c r="BL1" s="54" t="s">
        <v>311</v>
      </c>
      <c r="BM1" s="54" t="s">
        <v>312</v>
      </c>
      <c r="BN1" s="54" t="s">
        <v>313</v>
      </c>
      <c r="BO1" s="54" t="s">
        <v>314</v>
      </c>
      <c r="BP1" s="54" t="s">
        <v>315</v>
      </c>
      <c r="BQ1" s="54" t="s">
        <v>316</v>
      </c>
      <c r="BR1" s="54" t="s">
        <v>317</v>
      </c>
      <c r="BS1" s="54" t="s">
        <v>318</v>
      </c>
      <c r="BT1" s="54" t="s">
        <v>319</v>
      </c>
      <c r="BU1" s="54" t="s">
        <v>320</v>
      </c>
      <c r="BV1" s="54" t="s">
        <v>321</v>
      </c>
      <c r="BW1" s="54" t="s">
        <v>322</v>
      </c>
      <c r="BX1" s="54" t="s">
        <v>323</v>
      </c>
      <c r="BY1" s="54" t="s">
        <v>324</v>
      </c>
      <c r="BZ1" s="54" t="s">
        <v>325</v>
      </c>
      <c r="CA1" s="54" t="s">
        <v>326</v>
      </c>
      <c r="CB1" s="54" t="s">
        <v>327</v>
      </c>
      <c r="CC1" s="54" t="s">
        <v>328</v>
      </c>
      <c r="CD1" s="54" t="s">
        <v>329</v>
      </c>
      <c r="CE1" s="54" t="s">
        <v>330</v>
      </c>
      <c r="CF1" s="54" t="s">
        <v>331</v>
      </c>
      <c r="CG1" s="54" t="s">
        <v>332</v>
      </c>
      <c r="CH1" s="54" t="s">
        <v>333</v>
      </c>
      <c r="CI1" s="54" t="s">
        <v>334</v>
      </c>
      <c r="CJ1" s="54" t="s">
        <v>335</v>
      </c>
      <c r="CK1" s="54" t="s">
        <v>336</v>
      </c>
      <c r="CL1" s="54" t="s">
        <v>337</v>
      </c>
      <c r="CM1" s="54" t="s">
        <v>338</v>
      </c>
      <c r="CN1" s="54" t="s">
        <v>339</v>
      </c>
      <c r="CO1" s="54" t="s">
        <v>340</v>
      </c>
      <c r="CP1" s="54" t="s">
        <v>341</v>
      </c>
      <c r="CQ1" s="54" t="s">
        <v>342</v>
      </c>
      <c r="CR1" s="54" t="s">
        <v>343</v>
      </c>
      <c r="CS1" s="54" t="s">
        <v>344</v>
      </c>
      <c r="CT1" s="54" t="s">
        <v>345</v>
      </c>
      <c r="CU1" s="54" t="s">
        <v>346</v>
      </c>
      <c r="CV1" s="54" t="s">
        <v>347</v>
      </c>
      <c r="CW1" s="54" t="s">
        <v>348</v>
      </c>
      <c r="CX1" s="54" t="s">
        <v>349</v>
      </c>
      <c r="CY1" s="54" t="s">
        <v>350</v>
      </c>
      <c r="CZ1" s="54" t="s">
        <v>351</v>
      </c>
      <c r="DA1" s="54" t="s">
        <v>352</v>
      </c>
      <c r="DB1" s="36"/>
      <c r="DC1" s="36"/>
      <c r="DD1" s="36"/>
      <c r="DE1" s="36"/>
      <c r="DF1" s="36"/>
    </row>
    <row r="2" spans="1:110" s="34" customFormat="1">
      <c r="A2" s="40">
        <v>1</v>
      </c>
      <c r="B2" s="18">
        <v>153</v>
      </c>
      <c r="C2" s="19">
        <v>3</v>
      </c>
      <c r="D2" s="19">
        <v>1</v>
      </c>
      <c r="E2" s="19">
        <v>3</v>
      </c>
      <c r="F2" s="19">
        <v>0</v>
      </c>
      <c r="G2" s="19">
        <v>0</v>
      </c>
      <c r="H2" s="19">
        <v>1</v>
      </c>
      <c r="I2" s="19">
        <v>0</v>
      </c>
      <c r="J2" s="19">
        <v>0</v>
      </c>
      <c r="K2" s="19">
        <v>3</v>
      </c>
      <c r="L2" s="19">
        <v>1</v>
      </c>
      <c r="M2" s="19">
        <v>1</v>
      </c>
      <c r="N2" s="19">
        <v>3</v>
      </c>
      <c r="O2" s="19">
        <v>1</v>
      </c>
      <c r="P2" s="19">
        <v>3</v>
      </c>
      <c r="Q2" s="19">
        <v>1</v>
      </c>
      <c r="R2" s="19">
        <v>1</v>
      </c>
      <c r="S2" s="19">
        <v>1</v>
      </c>
      <c r="T2" s="19">
        <v>1</v>
      </c>
      <c r="U2" s="19">
        <v>3</v>
      </c>
      <c r="V2" s="19">
        <v>2</v>
      </c>
      <c r="W2" s="19">
        <v>3</v>
      </c>
      <c r="X2" s="19">
        <v>3</v>
      </c>
      <c r="Y2" s="19">
        <v>2</v>
      </c>
      <c r="Z2" s="19">
        <v>1</v>
      </c>
      <c r="AA2" s="19">
        <v>1</v>
      </c>
      <c r="AB2" s="19">
        <v>2</v>
      </c>
      <c r="AC2" s="19">
        <v>3</v>
      </c>
      <c r="AD2" s="19">
        <v>1</v>
      </c>
      <c r="AE2" s="19">
        <v>3</v>
      </c>
      <c r="AF2" s="19">
        <v>2</v>
      </c>
      <c r="AG2" s="19">
        <v>1</v>
      </c>
      <c r="AH2" s="19">
        <v>2</v>
      </c>
      <c r="AI2" s="19">
        <v>3</v>
      </c>
      <c r="AJ2" s="19">
        <v>1</v>
      </c>
      <c r="AK2" s="19">
        <v>2</v>
      </c>
      <c r="AL2" s="19">
        <v>3</v>
      </c>
      <c r="AM2" s="19">
        <v>1</v>
      </c>
      <c r="AN2" s="19">
        <v>3</v>
      </c>
      <c r="AO2" s="19">
        <v>2</v>
      </c>
      <c r="AP2" s="19">
        <v>1</v>
      </c>
      <c r="AQ2" s="19">
        <v>2</v>
      </c>
      <c r="AR2" s="19">
        <v>2</v>
      </c>
      <c r="AS2" s="19">
        <v>1</v>
      </c>
      <c r="AT2" s="19">
        <v>3</v>
      </c>
      <c r="AU2" s="19">
        <v>1</v>
      </c>
      <c r="AV2" s="19">
        <v>2</v>
      </c>
      <c r="AW2" s="19">
        <v>3</v>
      </c>
      <c r="AX2" s="19">
        <v>2</v>
      </c>
      <c r="AY2" s="19">
        <v>1</v>
      </c>
      <c r="AZ2" s="19">
        <v>3</v>
      </c>
      <c r="BA2" s="19">
        <v>4</v>
      </c>
      <c r="BB2" s="19">
        <v>3</v>
      </c>
      <c r="BC2" s="19">
        <v>1</v>
      </c>
      <c r="BD2" s="19">
        <v>1</v>
      </c>
      <c r="BE2" s="19">
        <v>1</v>
      </c>
      <c r="BF2" s="19">
        <v>1</v>
      </c>
      <c r="BG2" s="19">
        <v>2</v>
      </c>
      <c r="BH2" s="19">
        <v>3</v>
      </c>
      <c r="BI2" s="19">
        <v>4</v>
      </c>
      <c r="BJ2" s="19">
        <v>2</v>
      </c>
      <c r="BK2" s="19">
        <v>4</v>
      </c>
      <c r="BL2" s="19">
        <v>3</v>
      </c>
      <c r="BM2" s="19">
        <v>3</v>
      </c>
      <c r="BN2" s="19">
        <v>1</v>
      </c>
      <c r="BO2" s="19">
        <v>3</v>
      </c>
      <c r="BP2" s="19">
        <v>1</v>
      </c>
      <c r="BQ2" s="19">
        <v>2</v>
      </c>
      <c r="BR2" s="19">
        <v>3</v>
      </c>
      <c r="BS2" s="19">
        <v>1</v>
      </c>
      <c r="BT2" s="19">
        <v>2</v>
      </c>
      <c r="BU2" s="19">
        <v>3</v>
      </c>
      <c r="BV2" s="19">
        <v>1</v>
      </c>
      <c r="BW2" s="19">
        <v>3</v>
      </c>
      <c r="BX2" s="19">
        <v>3</v>
      </c>
      <c r="BY2" s="19">
        <v>1</v>
      </c>
      <c r="BZ2" s="19">
        <v>1</v>
      </c>
      <c r="CA2" s="19">
        <v>1</v>
      </c>
      <c r="CB2" s="19">
        <v>1</v>
      </c>
      <c r="CC2" s="19">
        <v>3</v>
      </c>
      <c r="CD2" s="19">
        <v>2</v>
      </c>
      <c r="CE2" s="19">
        <v>3</v>
      </c>
      <c r="CF2" s="19">
        <v>4</v>
      </c>
      <c r="CG2" s="19">
        <v>4</v>
      </c>
      <c r="CH2" s="19">
        <v>2</v>
      </c>
      <c r="CI2" s="19">
        <v>3</v>
      </c>
      <c r="CJ2" s="19">
        <v>3</v>
      </c>
      <c r="CK2" s="19">
        <v>2</v>
      </c>
      <c r="CL2" s="19">
        <v>3</v>
      </c>
      <c r="CM2" s="19">
        <v>2</v>
      </c>
      <c r="CN2" s="19">
        <v>3</v>
      </c>
      <c r="CO2" s="19">
        <v>1</v>
      </c>
      <c r="CP2" s="19">
        <v>0</v>
      </c>
      <c r="CQ2" s="60">
        <v>0</v>
      </c>
      <c r="CR2" s="19">
        <v>1</v>
      </c>
      <c r="CS2" s="19">
        <v>0</v>
      </c>
      <c r="CT2" s="60">
        <v>1</v>
      </c>
      <c r="CU2" s="60">
        <v>0</v>
      </c>
      <c r="CV2" s="60">
        <v>1</v>
      </c>
      <c r="CW2" s="60">
        <v>1</v>
      </c>
      <c r="CX2" s="60">
        <v>1</v>
      </c>
      <c r="CY2" s="60">
        <v>1</v>
      </c>
      <c r="CZ2" s="19">
        <v>3</v>
      </c>
      <c r="DA2" s="19">
        <v>4</v>
      </c>
    </row>
    <row r="3" spans="1:110" s="34" customFormat="1">
      <c r="A3" s="40">
        <v>2</v>
      </c>
      <c r="B3" s="18">
        <v>177</v>
      </c>
      <c r="C3" s="19">
        <v>1</v>
      </c>
      <c r="D3" s="19">
        <v>1</v>
      </c>
      <c r="E3" s="19">
        <v>1</v>
      </c>
      <c r="F3" s="19">
        <v>0</v>
      </c>
      <c r="G3" s="19">
        <v>0</v>
      </c>
      <c r="H3" s="19">
        <v>0</v>
      </c>
      <c r="I3" s="19">
        <v>1</v>
      </c>
      <c r="J3" s="19">
        <v>0</v>
      </c>
      <c r="K3" s="19">
        <v>2</v>
      </c>
      <c r="L3" s="19">
        <v>2</v>
      </c>
      <c r="M3" s="19">
        <v>1</v>
      </c>
      <c r="N3" s="19">
        <v>1</v>
      </c>
      <c r="O3" s="19">
        <v>2</v>
      </c>
      <c r="P3" s="19">
        <v>1</v>
      </c>
      <c r="Q3" s="19">
        <v>1</v>
      </c>
      <c r="R3" s="19">
        <v>1</v>
      </c>
      <c r="S3" s="19">
        <v>2</v>
      </c>
      <c r="T3" s="19">
        <v>3</v>
      </c>
      <c r="U3" s="19">
        <v>2</v>
      </c>
      <c r="V3" s="19">
        <v>1</v>
      </c>
      <c r="W3" s="19">
        <v>2</v>
      </c>
      <c r="X3" s="19">
        <v>3</v>
      </c>
      <c r="Y3" s="19">
        <v>1</v>
      </c>
      <c r="Z3" s="19">
        <v>1</v>
      </c>
      <c r="AA3" s="19">
        <v>3</v>
      </c>
      <c r="AB3" s="19">
        <v>3</v>
      </c>
      <c r="AC3" s="19">
        <v>3</v>
      </c>
      <c r="AD3" s="19">
        <v>1</v>
      </c>
      <c r="AE3" s="19">
        <v>1</v>
      </c>
      <c r="AF3" s="19">
        <v>2</v>
      </c>
      <c r="AG3" s="19">
        <v>3</v>
      </c>
      <c r="AH3" s="19">
        <v>1</v>
      </c>
      <c r="AI3" s="19">
        <v>1</v>
      </c>
      <c r="AJ3" s="19">
        <v>3</v>
      </c>
      <c r="AK3" s="19">
        <v>3</v>
      </c>
      <c r="AL3" s="19">
        <v>1</v>
      </c>
      <c r="AM3" s="19">
        <v>1</v>
      </c>
      <c r="AN3" s="19">
        <v>1</v>
      </c>
      <c r="AO3" s="19">
        <v>3</v>
      </c>
      <c r="AP3" s="19">
        <v>1</v>
      </c>
      <c r="AQ3" s="19">
        <v>1</v>
      </c>
      <c r="AR3" s="19">
        <v>1</v>
      </c>
      <c r="AS3" s="19">
        <v>1</v>
      </c>
      <c r="AT3" s="19">
        <v>1</v>
      </c>
      <c r="AU3" s="19">
        <v>1</v>
      </c>
      <c r="AV3" s="19">
        <v>3</v>
      </c>
      <c r="AW3" s="19">
        <v>3</v>
      </c>
      <c r="AX3" s="19">
        <v>1</v>
      </c>
      <c r="AY3" s="19">
        <v>1</v>
      </c>
      <c r="AZ3" s="19">
        <v>1</v>
      </c>
      <c r="BA3" s="19">
        <v>1</v>
      </c>
      <c r="BB3" s="19">
        <v>3</v>
      </c>
      <c r="BC3" s="19">
        <v>3</v>
      </c>
      <c r="BD3" s="19">
        <v>1</v>
      </c>
      <c r="BE3" s="19">
        <v>1</v>
      </c>
      <c r="BF3" s="19">
        <v>3</v>
      </c>
      <c r="BG3" s="19">
        <v>3</v>
      </c>
      <c r="BH3" s="19">
        <v>1</v>
      </c>
      <c r="BI3" s="19">
        <v>1</v>
      </c>
      <c r="BJ3" s="19">
        <v>3</v>
      </c>
      <c r="BK3" s="19">
        <v>1</v>
      </c>
      <c r="BL3" s="19">
        <v>1</v>
      </c>
      <c r="BM3" s="19">
        <v>1</v>
      </c>
      <c r="BN3" s="19">
        <v>3</v>
      </c>
      <c r="BO3" s="19">
        <v>3</v>
      </c>
      <c r="BP3" s="19">
        <v>4</v>
      </c>
      <c r="BQ3" s="19">
        <v>4</v>
      </c>
      <c r="BR3" s="19">
        <v>4</v>
      </c>
      <c r="BS3" s="19">
        <v>4</v>
      </c>
      <c r="BT3" s="19">
        <v>4</v>
      </c>
      <c r="BU3" s="19">
        <v>4</v>
      </c>
      <c r="BV3" s="19">
        <v>4</v>
      </c>
      <c r="BW3" s="19">
        <v>4</v>
      </c>
      <c r="BX3" s="19">
        <v>4</v>
      </c>
      <c r="BY3" s="19">
        <v>4</v>
      </c>
      <c r="BZ3" s="19">
        <v>4</v>
      </c>
      <c r="CA3" s="19">
        <v>4</v>
      </c>
      <c r="CB3" s="19">
        <v>4</v>
      </c>
      <c r="CC3" s="19">
        <v>4</v>
      </c>
      <c r="CD3" s="19">
        <v>4</v>
      </c>
      <c r="CE3" s="19">
        <v>4</v>
      </c>
      <c r="CF3" s="19">
        <v>4</v>
      </c>
      <c r="CG3" s="19">
        <v>4</v>
      </c>
      <c r="CH3" s="19">
        <v>4</v>
      </c>
      <c r="CI3" s="19">
        <v>4</v>
      </c>
      <c r="CJ3" s="19">
        <v>4</v>
      </c>
      <c r="CK3" s="19">
        <v>4</v>
      </c>
      <c r="CL3" s="19">
        <v>4</v>
      </c>
      <c r="CM3" s="19">
        <v>4</v>
      </c>
      <c r="CN3" s="19">
        <v>4</v>
      </c>
      <c r="CO3" s="19">
        <v>1</v>
      </c>
      <c r="CP3" s="19">
        <v>0</v>
      </c>
      <c r="CQ3" s="60">
        <v>1</v>
      </c>
      <c r="CR3" s="19">
        <v>0</v>
      </c>
      <c r="CS3" s="19">
        <v>0</v>
      </c>
      <c r="CT3" s="60">
        <v>1</v>
      </c>
      <c r="CU3" s="60">
        <v>1</v>
      </c>
      <c r="CV3" s="60">
        <v>0</v>
      </c>
      <c r="CW3" s="60">
        <v>0</v>
      </c>
      <c r="CX3" s="60">
        <v>1</v>
      </c>
      <c r="CY3" s="60">
        <v>0</v>
      </c>
      <c r="CZ3" s="19">
        <v>3</v>
      </c>
      <c r="DA3" s="19">
        <v>2</v>
      </c>
    </row>
    <row r="4" spans="1:110" s="34" customFormat="1">
      <c r="A4" s="40">
        <v>3</v>
      </c>
      <c r="B4" s="18">
        <v>192</v>
      </c>
      <c r="C4" s="19">
        <v>1</v>
      </c>
      <c r="D4" s="19">
        <v>2</v>
      </c>
      <c r="E4" s="19">
        <v>2</v>
      </c>
      <c r="F4" s="19">
        <v>1</v>
      </c>
      <c r="G4" s="19">
        <v>1</v>
      </c>
      <c r="H4" s="19">
        <v>1</v>
      </c>
      <c r="I4" s="19">
        <v>0</v>
      </c>
      <c r="J4" s="19">
        <v>0</v>
      </c>
      <c r="K4" s="19">
        <v>4</v>
      </c>
      <c r="L4" s="19">
        <v>3</v>
      </c>
      <c r="M4" s="19">
        <v>2</v>
      </c>
      <c r="N4" s="19">
        <v>3</v>
      </c>
      <c r="O4" s="19">
        <v>1</v>
      </c>
      <c r="P4" s="19">
        <v>2</v>
      </c>
      <c r="Q4" s="19">
        <v>4</v>
      </c>
      <c r="R4" s="19">
        <v>3</v>
      </c>
      <c r="S4" s="19">
        <v>1</v>
      </c>
      <c r="T4" s="19">
        <v>3</v>
      </c>
      <c r="U4" s="19">
        <v>3</v>
      </c>
      <c r="V4" s="19">
        <v>4</v>
      </c>
      <c r="W4" s="19">
        <v>1</v>
      </c>
      <c r="X4" s="19">
        <v>2</v>
      </c>
      <c r="Y4" s="19">
        <v>3</v>
      </c>
      <c r="Z4" s="19">
        <v>4</v>
      </c>
      <c r="AA4" s="19">
        <v>1</v>
      </c>
      <c r="AB4" s="19">
        <v>1</v>
      </c>
      <c r="AC4" s="19">
        <v>4</v>
      </c>
      <c r="AD4" s="19">
        <v>4</v>
      </c>
      <c r="AE4" s="19">
        <v>4</v>
      </c>
      <c r="AF4" s="19">
        <v>2</v>
      </c>
      <c r="AG4" s="19">
        <v>3</v>
      </c>
      <c r="AH4" s="19">
        <v>3</v>
      </c>
      <c r="AI4" s="19">
        <v>1</v>
      </c>
      <c r="AJ4" s="19">
        <v>1</v>
      </c>
      <c r="AK4" s="19">
        <v>2</v>
      </c>
      <c r="AL4" s="19">
        <v>2</v>
      </c>
      <c r="AM4" s="19">
        <v>3</v>
      </c>
      <c r="AN4" s="19">
        <v>1</v>
      </c>
      <c r="AO4" s="19">
        <v>1</v>
      </c>
      <c r="AP4" s="19">
        <v>4</v>
      </c>
      <c r="AQ4" s="19">
        <v>5</v>
      </c>
      <c r="AR4" s="19">
        <v>1</v>
      </c>
      <c r="AS4" s="19">
        <v>3</v>
      </c>
      <c r="AT4" s="19">
        <v>3</v>
      </c>
      <c r="AU4" s="19">
        <v>3</v>
      </c>
      <c r="AV4" s="19">
        <v>1</v>
      </c>
      <c r="AW4" s="19">
        <v>2</v>
      </c>
      <c r="AX4" s="19">
        <v>2</v>
      </c>
      <c r="AY4" s="19">
        <v>3</v>
      </c>
      <c r="AZ4" s="19">
        <v>1</v>
      </c>
      <c r="BA4" s="19">
        <v>1</v>
      </c>
      <c r="BB4" s="19">
        <v>3</v>
      </c>
      <c r="BC4" s="19">
        <v>4</v>
      </c>
      <c r="BD4" s="19">
        <v>5</v>
      </c>
      <c r="BE4" s="19">
        <v>1</v>
      </c>
      <c r="BF4" s="19">
        <v>1</v>
      </c>
      <c r="BG4" s="19">
        <v>3</v>
      </c>
      <c r="BH4" s="19">
        <v>4</v>
      </c>
      <c r="BI4" s="19">
        <v>1</v>
      </c>
      <c r="BJ4" s="19">
        <v>1</v>
      </c>
      <c r="BK4" s="19">
        <v>2</v>
      </c>
      <c r="BL4" s="19">
        <v>3</v>
      </c>
      <c r="BM4" s="19">
        <v>1</v>
      </c>
      <c r="BN4" s="19">
        <v>1</v>
      </c>
      <c r="BO4" s="19">
        <v>4</v>
      </c>
      <c r="BP4" s="19">
        <v>5</v>
      </c>
      <c r="BQ4" s="19">
        <v>5</v>
      </c>
      <c r="BR4" s="19">
        <v>5</v>
      </c>
      <c r="BS4" s="19">
        <v>5</v>
      </c>
      <c r="BT4" s="19">
        <v>5</v>
      </c>
      <c r="BU4" s="19">
        <v>5</v>
      </c>
      <c r="BV4" s="19">
        <v>5</v>
      </c>
      <c r="BW4" s="19">
        <v>5</v>
      </c>
      <c r="BX4" s="19">
        <v>5</v>
      </c>
      <c r="BY4" s="19">
        <v>5</v>
      </c>
      <c r="BZ4" s="19">
        <v>5</v>
      </c>
      <c r="CA4" s="19">
        <v>5</v>
      </c>
      <c r="CB4" s="19">
        <v>5</v>
      </c>
      <c r="CC4" s="19">
        <v>5</v>
      </c>
      <c r="CD4" s="19">
        <v>5</v>
      </c>
      <c r="CE4" s="19">
        <v>4</v>
      </c>
      <c r="CF4" s="19">
        <v>4</v>
      </c>
      <c r="CG4" s="19">
        <v>4</v>
      </c>
      <c r="CH4" s="19">
        <v>5</v>
      </c>
      <c r="CI4" s="19">
        <v>5</v>
      </c>
      <c r="CJ4" s="19">
        <v>5</v>
      </c>
      <c r="CK4" s="19">
        <v>5</v>
      </c>
      <c r="CL4" s="19">
        <v>5</v>
      </c>
      <c r="CM4" s="19">
        <v>5</v>
      </c>
      <c r="CN4" s="19">
        <v>5</v>
      </c>
      <c r="CO4" s="19">
        <v>1</v>
      </c>
      <c r="CP4" s="19">
        <v>0</v>
      </c>
      <c r="CQ4" s="60">
        <v>1</v>
      </c>
      <c r="CR4" s="19">
        <v>1</v>
      </c>
      <c r="CS4" s="19">
        <v>0</v>
      </c>
      <c r="CT4" s="60">
        <v>1</v>
      </c>
      <c r="CU4" s="60">
        <v>0</v>
      </c>
      <c r="CV4" s="60">
        <v>1</v>
      </c>
      <c r="CW4" s="60">
        <v>0</v>
      </c>
      <c r="CX4" s="60">
        <v>1</v>
      </c>
      <c r="CY4" s="60">
        <v>0</v>
      </c>
      <c r="CZ4" s="19">
        <v>3</v>
      </c>
      <c r="DA4" s="19">
        <v>2</v>
      </c>
    </row>
    <row r="5" spans="1:110" s="34" customFormat="1">
      <c r="A5" s="40">
        <v>4</v>
      </c>
      <c r="B5" s="18">
        <v>166</v>
      </c>
      <c r="C5" s="19">
        <v>1</v>
      </c>
      <c r="D5" s="19">
        <v>1</v>
      </c>
      <c r="E5" s="19">
        <v>5</v>
      </c>
      <c r="F5" s="19">
        <v>1</v>
      </c>
      <c r="G5" s="19">
        <v>0</v>
      </c>
      <c r="H5" s="19">
        <v>0</v>
      </c>
      <c r="I5" s="19">
        <v>0</v>
      </c>
      <c r="J5" s="19">
        <v>0</v>
      </c>
      <c r="K5" s="19">
        <v>2</v>
      </c>
      <c r="L5" s="19">
        <v>3</v>
      </c>
      <c r="M5" s="19">
        <v>2</v>
      </c>
      <c r="N5" s="19">
        <v>3</v>
      </c>
      <c r="O5" s="19">
        <v>2</v>
      </c>
      <c r="P5" s="19">
        <v>2</v>
      </c>
      <c r="Q5" s="19">
        <v>4</v>
      </c>
      <c r="R5" s="19">
        <v>4</v>
      </c>
      <c r="S5" s="19">
        <v>1</v>
      </c>
      <c r="T5" s="19">
        <v>1</v>
      </c>
      <c r="U5" s="19">
        <v>3</v>
      </c>
      <c r="V5" s="19">
        <v>3</v>
      </c>
      <c r="W5" s="19">
        <v>1</v>
      </c>
      <c r="X5" s="19">
        <v>1</v>
      </c>
      <c r="Y5" s="19">
        <v>3</v>
      </c>
      <c r="Z5" s="19">
        <v>2</v>
      </c>
      <c r="AA5" s="19">
        <v>1</v>
      </c>
      <c r="AB5" s="19">
        <v>2</v>
      </c>
      <c r="AC5" s="19">
        <v>3</v>
      </c>
      <c r="AD5" s="19">
        <v>3</v>
      </c>
      <c r="AE5" s="19">
        <v>4</v>
      </c>
      <c r="AF5" s="19">
        <v>1</v>
      </c>
      <c r="AG5" s="19">
        <v>1</v>
      </c>
      <c r="AH5" s="19">
        <v>2</v>
      </c>
      <c r="AI5" s="19">
        <v>4</v>
      </c>
      <c r="AJ5" s="19">
        <v>1</v>
      </c>
      <c r="AK5" s="19">
        <v>1</v>
      </c>
      <c r="AL5" s="19">
        <v>1</v>
      </c>
      <c r="AM5" s="19">
        <v>3</v>
      </c>
      <c r="AN5" s="19">
        <v>1</v>
      </c>
      <c r="AO5" s="19">
        <v>1</v>
      </c>
      <c r="AP5" s="19">
        <v>3</v>
      </c>
      <c r="AQ5" s="19">
        <v>4</v>
      </c>
      <c r="AR5" s="19">
        <v>1</v>
      </c>
      <c r="AS5" s="19">
        <v>1</v>
      </c>
      <c r="AT5" s="19">
        <v>3</v>
      </c>
      <c r="AU5" s="19">
        <v>3</v>
      </c>
      <c r="AV5" s="19">
        <v>1</v>
      </c>
      <c r="AW5" s="19">
        <v>1</v>
      </c>
      <c r="AX5" s="19">
        <v>1</v>
      </c>
      <c r="AY5" s="19">
        <v>3</v>
      </c>
      <c r="AZ5" s="19">
        <v>1</v>
      </c>
      <c r="BA5" s="19">
        <v>1</v>
      </c>
      <c r="BB5" s="19">
        <v>3</v>
      </c>
      <c r="BC5" s="19">
        <v>4</v>
      </c>
      <c r="BD5" s="19">
        <v>3</v>
      </c>
      <c r="BE5" s="19">
        <v>1</v>
      </c>
      <c r="BF5" s="19">
        <v>2</v>
      </c>
      <c r="BG5" s="19">
        <v>4</v>
      </c>
      <c r="BH5" s="19">
        <v>2</v>
      </c>
      <c r="BI5" s="19">
        <v>1</v>
      </c>
      <c r="BJ5" s="19">
        <v>2</v>
      </c>
      <c r="BK5" s="19">
        <v>2</v>
      </c>
      <c r="BL5" s="19">
        <v>2</v>
      </c>
      <c r="BM5" s="19">
        <v>1</v>
      </c>
      <c r="BN5" s="19">
        <v>2</v>
      </c>
      <c r="BO5" s="19">
        <v>3</v>
      </c>
      <c r="BP5" s="19">
        <v>5</v>
      </c>
      <c r="BQ5" s="19">
        <v>5</v>
      </c>
      <c r="BR5" s="19">
        <v>3</v>
      </c>
      <c r="BS5" s="19">
        <v>4</v>
      </c>
      <c r="BT5" s="19">
        <v>5</v>
      </c>
      <c r="BU5" s="19">
        <v>5</v>
      </c>
      <c r="BV5" s="19">
        <v>5</v>
      </c>
      <c r="BW5" s="19">
        <v>4</v>
      </c>
      <c r="BX5" s="19">
        <v>2</v>
      </c>
      <c r="BY5" s="19">
        <v>5</v>
      </c>
      <c r="BZ5" s="19">
        <v>4</v>
      </c>
      <c r="CA5" s="19">
        <v>4</v>
      </c>
      <c r="CB5" s="19">
        <v>4</v>
      </c>
      <c r="CC5" s="19">
        <v>2</v>
      </c>
      <c r="CD5" s="19">
        <v>5</v>
      </c>
      <c r="CE5" s="19">
        <v>4</v>
      </c>
      <c r="CF5" s="19">
        <v>4</v>
      </c>
      <c r="CG5" s="19">
        <v>4</v>
      </c>
      <c r="CH5" s="19">
        <v>5</v>
      </c>
      <c r="CI5" s="19">
        <v>4</v>
      </c>
      <c r="CJ5" s="19">
        <v>2</v>
      </c>
      <c r="CK5" s="19">
        <v>2</v>
      </c>
      <c r="CL5" s="19">
        <v>4</v>
      </c>
      <c r="CM5" s="19">
        <v>5</v>
      </c>
      <c r="CN5" s="19">
        <v>5</v>
      </c>
      <c r="CO5" s="19">
        <v>0</v>
      </c>
      <c r="CP5" s="19">
        <v>1</v>
      </c>
      <c r="CQ5" s="60">
        <v>1</v>
      </c>
      <c r="CR5" s="19">
        <v>0</v>
      </c>
      <c r="CS5" s="19">
        <v>0</v>
      </c>
      <c r="CT5" s="60">
        <v>1</v>
      </c>
      <c r="CU5" s="60">
        <v>0</v>
      </c>
      <c r="CV5" s="60">
        <v>1</v>
      </c>
      <c r="CW5" s="60">
        <v>0</v>
      </c>
      <c r="CX5" s="60">
        <v>1</v>
      </c>
      <c r="CY5" s="60">
        <v>1</v>
      </c>
      <c r="CZ5" s="19">
        <v>3</v>
      </c>
      <c r="DA5" s="19">
        <v>5</v>
      </c>
    </row>
    <row r="6" spans="1:110" s="34" customFormat="1">
      <c r="A6" s="40">
        <v>5</v>
      </c>
      <c r="B6" s="18">
        <v>173</v>
      </c>
      <c r="C6" s="19">
        <v>1</v>
      </c>
      <c r="D6" s="19">
        <v>1</v>
      </c>
      <c r="E6" s="19">
        <v>1</v>
      </c>
      <c r="F6" s="19">
        <v>0</v>
      </c>
      <c r="G6" s="19">
        <v>0</v>
      </c>
      <c r="H6" s="19">
        <v>0</v>
      </c>
      <c r="I6" s="19">
        <v>1</v>
      </c>
      <c r="J6" s="19">
        <v>0</v>
      </c>
      <c r="K6" s="19">
        <v>1</v>
      </c>
      <c r="L6" s="19">
        <v>2</v>
      </c>
      <c r="M6" s="19">
        <v>1</v>
      </c>
      <c r="N6" s="19">
        <v>3</v>
      </c>
      <c r="O6" s="19">
        <v>1</v>
      </c>
      <c r="P6" s="19">
        <v>2</v>
      </c>
      <c r="Q6" s="19">
        <v>2</v>
      </c>
      <c r="R6" s="19">
        <v>3</v>
      </c>
      <c r="S6" s="19">
        <v>2</v>
      </c>
      <c r="T6" s="19">
        <v>4</v>
      </c>
      <c r="U6" s="19">
        <v>2</v>
      </c>
      <c r="V6" s="19">
        <v>2</v>
      </c>
      <c r="W6" s="19">
        <v>2</v>
      </c>
      <c r="X6" s="19">
        <v>4</v>
      </c>
      <c r="Y6" s="19">
        <v>1</v>
      </c>
      <c r="Z6" s="19">
        <v>1</v>
      </c>
      <c r="AA6" s="19">
        <v>2</v>
      </c>
      <c r="AB6" s="19">
        <v>3</v>
      </c>
      <c r="AC6" s="19">
        <v>3</v>
      </c>
      <c r="AD6" s="19">
        <v>2</v>
      </c>
      <c r="AE6" s="19">
        <v>3</v>
      </c>
      <c r="AF6" s="19">
        <v>2</v>
      </c>
      <c r="AG6" s="19">
        <v>3</v>
      </c>
      <c r="AH6" s="19">
        <v>2</v>
      </c>
      <c r="AI6" s="19">
        <v>2</v>
      </c>
      <c r="AJ6" s="19">
        <v>2</v>
      </c>
      <c r="AK6" s="19">
        <v>3</v>
      </c>
      <c r="AL6" s="19">
        <v>1</v>
      </c>
      <c r="AM6" s="19">
        <v>1</v>
      </c>
      <c r="AN6" s="19">
        <v>2</v>
      </c>
      <c r="AO6" s="19">
        <v>3</v>
      </c>
      <c r="AP6" s="19">
        <v>3</v>
      </c>
      <c r="AQ6" s="19">
        <v>2</v>
      </c>
      <c r="AR6" s="19">
        <v>2</v>
      </c>
      <c r="AS6" s="19">
        <v>3</v>
      </c>
      <c r="AT6" s="19">
        <v>2</v>
      </c>
      <c r="AU6" s="19">
        <v>2</v>
      </c>
      <c r="AV6" s="19">
        <v>2</v>
      </c>
      <c r="AW6" s="19">
        <v>3</v>
      </c>
      <c r="AX6" s="19">
        <v>1</v>
      </c>
      <c r="AY6" s="19">
        <v>1</v>
      </c>
      <c r="AZ6" s="19">
        <v>2</v>
      </c>
      <c r="BA6" s="19">
        <v>3</v>
      </c>
      <c r="BB6" s="19">
        <v>3</v>
      </c>
      <c r="BC6" s="19">
        <v>2</v>
      </c>
      <c r="BD6" s="19">
        <v>1</v>
      </c>
      <c r="BE6" s="19">
        <v>1</v>
      </c>
      <c r="BF6" s="19">
        <v>4</v>
      </c>
      <c r="BG6" s="19">
        <v>2</v>
      </c>
      <c r="BH6" s="19">
        <v>1</v>
      </c>
      <c r="BI6" s="19">
        <v>1</v>
      </c>
      <c r="BJ6" s="19">
        <v>3</v>
      </c>
      <c r="BK6" s="19">
        <v>1</v>
      </c>
      <c r="BL6" s="19">
        <v>1</v>
      </c>
      <c r="BM6" s="19">
        <v>1</v>
      </c>
      <c r="BN6" s="19">
        <v>2</v>
      </c>
      <c r="BO6" s="19">
        <v>3</v>
      </c>
      <c r="BP6" s="19">
        <v>4</v>
      </c>
      <c r="BQ6" s="19">
        <v>4</v>
      </c>
      <c r="BR6" s="19">
        <v>3</v>
      </c>
      <c r="BS6" s="19">
        <v>4</v>
      </c>
      <c r="BT6" s="19">
        <v>4</v>
      </c>
      <c r="BU6" s="19">
        <v>4</v>
      </c>
      <c r="BV6" s="19">
        <v>4</v>
      </c>
      <c r="BW6" s="19">
        <v>4</v>
      </c>
      <c r="BX6" s="19">
        <v>4</v>
      </c>
      <c r="BY6" s="19">
        <v>4</v>
      </c>
      <c r="BZ6" s="19">
        <v>4</v>
      </c>
      <c r="CA6" s="19">
        <v>4</v>
      </c>
      <c r="CB6" s="19">
        <v>4</v>
      </c>
      <c r="CC6" s="19">
        <v>4</v>
      </c>
      <c r="CD6" s="19">
        <v>4</v>
      </c>
      <c r="CE6" s="19">
        <v>4</v>
      </c>
      <c r="CF6" s="19">
        <v>3</v>
      </c>
      <c r="CG6" s="19">
        <v>3</v>
      </c>
      <c r="CH6" s="19">
        <v>4</v>
      </c>
      <c r="CI6" s="19">
        <v>3</v>
      </c>
      <c r="CJ6" s="19">
        <v>4</v>
      </c>
      <c r="CK6" s="19">
        <v>3</v>
      </c>
      <c r="CL6" s="19">
        <v>4</v>
      </c>
      <c r="CM6" s="19">
        <v>3</v>
      </c>
      <c r="CN6" s="19">
        <v>3</v>
      </c>
      <c r="CO6" s="19">
        <v>1</v>
      </c>
      <c r="CP6" s="19">
        <v>1</v>
      </c>
      <c r="CQ6" s="60">
        <v>1</v>
      </c>
      <c r="CR6" s="19">
        <v>0</v>
      </c>
      <c r="CS6" s="19">
        <v>0</v>
      </c>
      <c r="CT6" s="60">
        <v>0</v>
      </c>
      <c r="CU6" s="60">
        <v>0</v>
      </c>
      <c r="CV6" s="60">
        <v>0</v>
      </c>
      <c r="CW6" s="60">
        <v>1</v>
      </c>
      <c r="CX6" s="60">
        <v>0</v>
      </c>
      <c r="CY6" s="60">
        <v>1</v>
      </c>
      <c r="CZ6" s="19">
        <v>2</v>
      </c>
      <c r="DA6" s="19">
        <v>3</v>
      </c>
    </row>
    <row r="7" spans="1:110" s="34" customFormat="1">
      <c r="A7" s="40">
        <v>6</v>
      </c>
      <c r="B7" s="18">
        <v>154</v>
      </c>
      <c r="C7" s="19">
        <v>1</v>
      </c>
      <c r="D7" s="19">
        <v>1</v>
      </c>
      <c r="E7" s="19">
        <v>2</v>
      </c>
      <c r="F7" s="19">
        <v>0</v>
      </c>
      <c r="G7" s="19">
        <v>0</v>
      </c>
      <c r="H7" s="19">
        <v>1</v>
      </c>
      <c r="I7" s="19">
        <v>1</v>
      </c>
      <c r="J7" s="19">
        <v>0</v>
      </c>
      <c r="K7" s="19">
        <v>1</v>
      </c>
      <c r="L7" s="19">
        <v>3</v>
      </c>
      <c r="M7" s="19">
        <v>1</v>
      </c>
      <c r="N7" s="19">
        <v>2</v>
      </c>
      <c r="O7" s="19">
        <v>2</v>
      </c>
      <c r="P7" s="19">
        <v>2</v>
      </c>
      <c r="Q7" s="19">
        <v>2</v>
      </c>
      <c r="R7" s="19">
        <v>4</v>
      </c>
      <c r="S7" s="19">
        <v>1</v>
      </c>
      <c r="T7" s="19">
        <v>1</v>
      </c>
      <c r="U7" s="19">
        <v>2</v>
      </c>
      <c r="V7" s="19">
        <v>4</v>
      </c>
      <c r="W7" s="19">
        <v>2</v>
      </c>
      <c r="X7" s="19">
        <v>1</v>
      </c>
      <c r="Y7" s="19">
        <v>2</v>
      </c>
      <c r="Z7" s="19">
        <v>4</v>
      </c>
      <c r="AA7" s="19">
        <v>1</v>
      </c>
      <c r="AB7" s="19">
        <v>2</v>
      </c>
      <c r="AC7" s="19">
        <v>3</v>
      </c>
      <c r="AD7" s="19">
        <v>2</v>
      </c>
      <c r="AE7" s="19">
        <v>3</v>
      </c>
      <c r="AF7" s="19">
        <v>1</v>
      </c>
      <c r="AG7" s="19">
        <v>2</v>
      </c>
      <c r="AH7" s="19">
        <v>2</v>
      </c>
      <c r="AI7" s="19">
        <v>4</v>
      </c>
      <c r="AJ7" s="19">
        <v>1</v>
      </c>
      <c r="AK7" s="19">
        <v>1</v>
      </c>
      <c r="AL7" s="19">
        <v>1</v>
      </c>
      <c r="AM7" s="19">
        <v>4</v>
      </c>
      <c r="AN7" s="19">
        <v>2</v>
      </c>
      <c r="AO7" s="19">
        <v>2</v>
      </c>
      <c r="AP7" s="19">
        <v>2</v>
      </c>
      <c r="AQ7" s="19">
        <v>4</v>
      </c>
      <c r="AR7" s="19">
        <v>1</v>
      </c>
      <c r="AS7" s="19">
        <v>1</v>
      </c>
      <c r="AT7" s="19">
        <v>2</v>
      </c>
      <c r="AU7" s="19">
        <v>4</v>
      </c>
      <c r="AV7" s="19">
        <v>1</v>
      </c>
      <c r="AW7" s="19">
        <v>1</v>
      </c>
      <c r="AX7" s="19">
        <v>1</v>
      </c>
      <c r="AY7" s="19">
        <v>4</v>
      </c>
      <c r="AZ7" s="19">
        <v>1</v>
      </c>
      <c r="BA7" s="19">
        <v>2</v>
      </c>
      <c r="BB7" s="19">
        <v>3</v>
      </c>
      <c r="BC7" s="19">
        <v>4</v>
      </c>
      <c r="BD7" s="19">
        <v>3</v>
      </c>
      <c r="BE7" s="19">
        <v>1</v>
      </c>
      <c r="BF7" s="19">
        <v>1</v>
      </c>
      <c r="BG7" s="19">
        <v>3</v>
      </c>
      <c r="BH7" s="19">
        <v>4</v>
      </c>
      <c r="BI7" s="19">
        <v>1</v>
      </c>
      <c r="BJ7" s="19">
        <v>2</v>
      </c>
      <c r="BK7" s="19">
        <v>3</v>
      </c>
      <c r="BL7" s="19">
        <v>3</v>
      </c>
      <c r="BM7" s="19">
        <v>1</v>
      </c>
      <c r="BN7" s="19">
        <v>2</v>
      </c>
      <c r="BO7" s="19">
        <v>3</v>
      </c>
      <c r="BP7" s="19">
        <v>2</v>
      </c>
      <c r="BQ7" s="19">
        <v>3</v>
      </c>
      <c r="BR7" s="19">
        <v>3</v>
      </c>
      <c r="BS7" s="19">
        <v>4</v>
      </c>
      <c r="BT7" s="19">
        <v>5</v>
      </c>
      <c r="BU7" s="19">
        <v>5</v>
      </c>
      <c r="BV7" s="19">
        <v>4</v>
      </c>
      <c r="BW7" s="19">
        <v>4</v>
      </c>
      <c r="BX7" s="19">
        <v>4</v>
      </c>
      <c r="BY7" s="19">
        <v>4</v>
      </c>
      <c r="BZ7" s="19">
        <v>5</v>
      </c>
      <c r="CA7" s="19">
        <v>5</v>
      </c>
      <c r="CB7" s="19">
        <v>5</v>
      </c>
      <c r="CC7" s="19">
        <v>5</v>
      </c>
      <c r="CD7" s="19">
        <v>4</v>
      </c>
      <c r="CE7" s="19">
        <v>4</v>
      </c>
      <c r="CF7" s="19">
        <v>4</v>
      </c>
      <c r="CG7" s="19">
        <v>4</v>
      </c>
      <c r="CH7" s="19">
        <v>5</v>
      </c>
      <c r="CI7" s="19">
        <v>3</v>
      </c>
      <c r="CJ7" s="19">
        <v>3</v>
      </c>
      <c r="CK7" s="19">
        <v>4</v>
      </c>
      <c r="CL7" s="19">
        <v>4</v>
      </c>
      <c r="CM7" s="19">
        <v>4</v>
      </c>
      <c r="CN7" s="19">
        <v>3</v>
      </c>
      <c r="CO7" s="19">
        <v>0</v>
      </c>
      <c r="CP7" s="19">
        <v>1</v>
      </c>
      <c r="CQ7" s="60">
        <v>1</v>
      </c>
      <c r="CR7" s="19">
        <v>0</v>
      </c>
      <c r="CS7" s="19">
        <v>0</v>
      </c>
      <c r="CT7" s="60">
        <v>1</v>
      </c>
      <c r="CU7" s="60">
        <v>0</v>
      </c>
      <c r="CV7" s="60">
        <v>0</v>
      </c>
      <c r="CW7" s="60">
        <v>0</v>
      </c>
      <c r="CX7" s="60">
        <v>1</v>
      </c>
      <c r="CY7" s="60">
        <v>0</v>
      </c>
      <c r="CZ7" s="19">
        <v>2</v>
      </c>
      <c r="DA7" s="19">
        <v>3</v>
      </c>
    </row>
    <row r="8" spans="1:110" s="34" customFormat="1">
      <c r="A8" s="40">
        <v>7</v>
      </c>
      <c r="B8" s="18">
        <v>169</v>
      </c>
      <c r="C8" s="19">
        <v>1</v>
      </c>
      <c r="D8" s="19">
        <v>1</v>
      </c>
      <c r="E8" s="19">
        <v>1</v>
      </c>
      <c r="F8" s="19">
        <v>1</v>
      </c>
      <c r="G8" s="19">
        <v>0</v>
      </c>
      <c r="H8" s="19">
        <v>0</v>
      </c>
      <c r="I8" s="19">
        <v>1</v>
      </c>
      <c r="J8" s="19">
        <v>0</v>
      </c>
      <c r="K8" s="19">
        <v>3</v>
      </c>
      <c r="L8" s="19">
        <v>4</v>
      </c>
      <c r="M8" s="19">
        <v>2</v>
      </c>
      <c r="N8" s="19">
        <v>5</v>
      </c>
      <c r="O8" s="19">
        <v>2</v>
      </c>
      <c r="P8" s="19">
        <v>3</v>
      </c>
      <c r="Q8" s="19">
        <v>3</v>
      </c>
      <c r="R8" s="19">
        <v>2</v>
      </c>
      <c r="S8" s="19">
        <v>2</v>
      </c>
      <c r="T8" s="19">
        <v>3</v>
      </c>
      <c r="U8" s="19">
        <v>3</v>
      </c>
      <c r="V8" s="19">
        <v>1</v>
      </c>
      <c r="W8" s="19">
        <v>1</v>
      </c>
      <c r="X8" s="19">
        <v>3</v>
      </c>
      <c r="Y8" s="19">
        <v>0</v>
      </c>
      <c r="Z8" s="19">
        <v>2</v>
      </c>
      <c r="AA8" s="19">
        <v>2</v>
      </c>
      <c r="AB8" s="19">
        <v>4</v>
      </c>
      <c r="AC8" s="19">
        <v>1</v>
      </c>
      <c r="AD8" s="19">
        <v>4</v>
      </c>
      <c r="AE8" s="19">
        <v>2</v>
      </c>
      <c r="AF8" s="19">
        <v>3</v>
      </c>
      <c r="AG8" s="19">
        <v>3</v>
      </c>
      <c r="AH8" s="19">
        <v>3</v>
      </c>
      <c r="AI8" s="19">
        <v>1</v>
      </c>
      <c r="AJ8" s="19">
        <v>1</v>
      </c>
      <c r="AK8" s="19">
        <v>3</v>
      </c>
      <c r="AL8" s="19">
        <v>1</v>
      </c>
      <c r="AM8" s="19">
        <v>1</v>
      </c>
      <c r="AN8" s="19">
        <v>2</v>
      </c>
      <c r="AO8" s="19">
        <v>3</v>
      </c>
      <c r="AP8" s="19">
        <v>2</v>
      </c>
      <c r="AQ8" s="19">
        <v>3</v>
      </c>
      <c r="AR8" s="19">
        <v>2</v>
      </c>
      <c r="AS8" s="19">
        <v>3</v>
      </c>
      <c r="AT8" s="19">
        <v>2</v>
      </c>
      <c r="AU8" s="19">
        <v>1</v>
      </c>
      <c r="AV8" s="19">
        <v>1</v>
      </c>
      <c r="AW8" s="19">
        <v>3</v>
      </c>
      <c r="AX8" s="19">
        <v>1</v>
      </c>
      <c r="AY8" s="19">
        <v>1</v>
      </c>
      <c r="AZ8" s="19">
        <v>2</v>
      </c>
      <c r="BA8" s="19">
        <v>2</v>
      </c>
      <c r="BB8" s="19">
        <v>4</v>
      </c>
      <c r="BC8" s="19">
        <v>4</v>
      </c>
      <c r="BD8" s="19">
        <v>3</v>
      </c>
      <c r="BE8" s="19">
        <v>2</v>
      </c>
      <c r="BF8" s="19">
        <v>3</v>
      </c>
      <c r="BG8" s="19">
        <v>4</v>
      </c>
      <c r="BH8" s="19">
        <v>1</v>
      </c>
      <c r="BI8" s="19">
        <v>1</v>
      </c>
      <c r="BJ8" s="19">
        <v>3</v>
      </c>
      <c r="BK8" s="19">
        <v>1</v>
      </c>
      <c r="BL8" s="19">
        <v>3</v>
      </c>
      <c r="BM8" s="19">
        <v>2</v>
      </c>
      <c r="BN8" s="19">
        <v>4</v>
      </c>
      <c r="BO8" s="19">
        <v>3</v>
      </c>
      <c r="BP8" s="19">
        <v>3</v>
      </c>
      <c r="BQ8" s="19">
        <v>4</v>
      </c>
      <c r="BR8" s="19">
        <v>3</v>
      </c>
      <c r="BS8" s="19">
        <v>4</v>
      </c>
      <c r="BT8" s="19">
        <v>4</v>
      </c>
      <c r="BU8" s="19">
        <v>3</v>
      </c>
      <c r="BV8" s="19">
        <v>1</v>
      </c>
      <c r="BW8" s="19">
        <v>4</v>
      </c>
      <c r="BX8" s="19">
        <v>4</v>
      </c>
      <c r="BY8" s="19">
        <v>4</v>
      </c>
      <c r="BZ8" s="19">
        <v>4</v>
      </c>
      <c r="CA8" s="19">
        <v>4</v>
      </c>
      <c r="CB8" s="19">
        <v>4</v>
      </c>
      <c r="CC8" s="19">
        <v>4</v>
      </c>
      <c r="CD8" s="19">
        <v>4</v>
      </c>
      <c r="CE8" s="19">
        <v>3</v>
      </c>
      <c r="CF8" s="19">
        <v>4</v>
      </c>
      <c r="CG8" s="19">
        <v>3</v>
      </c>
      <c r="CH8" s="19">
        <v>4</v>
      </c>
      <c r="CI8" s="19">
        <v>4</v>
      </c>
      <c r="CJ8" s="19">
        <v>4</v>
      </c>
      <c r="CK8" s="19">
        <v>4</v>
      </c>
      <c r="CL8" s="19">
        <v>4</v>
      </c>
      <c r="CM8" s="19">
        <v>3</v>
      </c>
      <c r="CN8" s="19">
        <v>3</v>
      </c>
      <c r="CO8" s="19">
        <v>1</v>
      </c>
      <c r="CP8" s="19">
        <v>0</v>
      </c>
      <c r="CQ8" s="60">
        <v>0</v>
      </c>
      <c r="CR8" s="19">
        <v>0</v>
      </c>
      <c r="CS8" s="19">
        <v>0</v>
      </c>
      <c r="CT8" s="60">
        <v>1</v>
      </c>
      <c r="CU8" s="60">
        <v>0</v>
      </c>
      <c r="CV8" s="60">
        <v>1</v>
      </c>
      <c r="CW8" s="60">
        <v>0</v>
      </c>
      <c r="CX8" s="60">
        <v>0</v>
      </c>
      <c r="CY8" s="60">
        <v>0</v>
      </c>
      <c r="CZ8" s="19">
        <v>2</v>
      </c>
      <c r="DA8" s="19">
        <v>5</v>
      </c>
    </row>
    <row r="9" spans="1:110" s="34" customFormat="1">
      <c r="A9" s="40">
        <v>8</v>
      </c>
      <c r="B9" s="18">
        <v>151</v>
      </c>
      <c r="C9" s="19">
        <v>3</v>
      </c>
      <c r="D9" s="19">
        <v>3</v>
      </c>
      <c r="E9" s="19">
        <v>3</v>
      </c>
      <c r="F9" s="19">
        <v>1</v>
      </c>
      <c r="G9" s="19">
        <v>0</v>
      </c>
      <c r="H9" s="19">
        <v>1</v>
      </c>
      <c r="I9" s="19">
        <v>0</v>
      </c>
      <c r="J9" s="19">
        <v>0</v>
      </c>
      <c r="K9" s="19">
        <v>2</v>
      </c>
      <c r="L9" s="19">
        <v>2</v>
      </c>
      <c r="M9" s="19">
        <v>1</v>
      </c>
      <c r="N9" s="19">
        <v>2</v>
      </c>
      <c r="O9" s="19">
        <v>2</v>
      </c>
      <c r="P9" s="19">
        <v>3</v>
      </c>
      <c r="Q9" s="19">
        <v>3</v>
      </c>
      <c r="R9" s="19">
        <v>3</v>
      </c>
      <c r="S9" s="19">
        <v>2</v>
      </c>
      <c r="T9" s="19">
        <v>2</v>
      </c>
      <c r="U9" s="19">
        <v>3</v>
      </c>
      <c r="V9" s="19">
        <v>2</v>
      </c>
      <c r="W9" s="19">
        <v>1</v>
      </c>
      <c r="X9" s="19">
        <v>2</v>
      </c>
      <c r="Y9" s="19">
        <v>1</v>
      </c>
      <c r="Z9" s="19">
        <v>2</v>
      </c>
      <c r="AA9" s="19">
        <v>1</v>
      </c>
      <c r="AB9" s="19">
        <v>2</v>
      </c>
      <c r="AC9" s="19">
        <v>1</v>
      </c>
      <c r="AD9" s="19">
        <v>1</v>
      </c>
      <c r="AE9" s="19">
        <v>2</v>
      </c>
      <c r="AF9" s="19">
        <v>2</v>
      </c>
      <c r="AG9" s="19">
        <v>1</v>
      </c>
      <c r="AH9" s="19">
        <v>1</v>
      </c>
      <c r="AI9" s="19">
        <v>2</v>
      </c>
      <c r="AJ9" s="19">
        <v>1</v>
      </c>
      <c r="AK9" s="19">
        <v>1</v>
      </c>
      <c r="AL9" s="19">
        <v>1</v>
      </c>
      <c r="AM9" s="19">
        <v>1</v>
      </c>
      <c r="AN9" s="19">
        <v>2</v>
      </c>
      <c r="AO9" s="19">
        <v>2</v>
      </c>
      <c r="AP9" s="19">
        <v>3</v>
      </c>
      <c r="AQ9" s="19">
        <v>2</v>
      </c>
      <c r="AR9" s="19">
        <v>2</v>
      </c>
      <c r="AS9" s="19">
        <v>2</v>
      </c>
      <c r="AT9" s="19">
        <v>2</v>
      </c>
      <c r="AU9" s="19">
        <v>2</v>
      </c>
      <c r="AV9" s="19">
        <v>1</v>
      </c>
      <c r="AW9" s="19">
        <v>2</v>
      </c>
      <c r="AX9" s="19">
        <v>1</v>
      </c>
      <c r="AY9" s="19">
        <v>2</v>
      </c>
      <c r="AZ9" s="19">
        <v>1</v>
      </c>
      <c r="BA9" s="19">
        <v>2</v>
      </c>
      <c r="BB9" s="19">
        <v>1</v>
      </c>
      <c r="BC9" s="19">
        <v>3</v>
      </c>
      <c r="BD9" s="19">
        <v>1</v>
      </c>
      <c r="BE9" s="19">
        <v>1</v>
      </c>
      <c r="BF9" s="19">
        <v>3</v>
      </c>
      <c r="BG9" s="19">
        <v>3</v>
      </c>
      <c r="BH9" s="19">
        <v>2</v>
      </c>
      <c r="BI9" s="19">
        <v>1</v>
      </c>
      <c r="BJ9" s="19">
        <v>2</v>
      </c>
      <c r="BK9" s="19">
        <v>1</v>
      </c>
      <c r="BL9" s="19">
        <v>2</v>
      </c>
      <c r="BM9" s="19">
        <v>1</v>
      </c>
      <c r="BN9" s="19">
        <v>2</v>
      </c>
      <c r="BO9" s="19">
        <v>3</v>
      </c>
      <c r="BP9" s="19">
        <v>5</v>
      </c>
      <c r="BQ9" s="19">
        <v>5</v>
      </c>
      <c r="BR9" s="19">
        <v>4</v>
      </c>
      <c r="BS9" s="19">
        <v>5</v>
      </c>
      <c r="BT9" s="19">
        <v>5</v>
      </c>
      <c r="BU9" s="19">
        <v>5</v>
      </c>
      <c r="BV9" s="19">
        <v>4</v>
      </c>
      <c r="BW9" s="19">
        <v>4</v>
      </c>
      <c r="BX9" s="19">
        <v>4</v>
      </c>
      <c r="BY9" s="19">
        <v>4</v>
      </c>
      <c r="BZ9" s="19">
        <v>4</v>
      </c>
      <c r="CA9" s="19">
        <v>4</v>
      </c>
      <c r="CB9" s="19">
        <v>4</v>
      </c>
      <c r="CC9" s="19">
        <v>4</v>
      </c>
      <c r="CD9" s="19">
        <v>4</v>
      </c>
      <c r="CE9" s="19">
        <v>4</v>
      </c>
      <c r="CF9" s="19">
        <v>4</v>
      </c>
      <c r="CG9" s="19">
        <v>4</v>
      </c>
      <c r="CH9" s="19">
        <v>4</v>
      </c>
      <c r="CI9" s="19">
        <v>4</v>
      </c>
      <c r="CJ9" s="19">
        <v>4</v>
      </c>
      <c r="CK9" s="19">
        <v>4</v>
      </c>
      <c r="CL9" s="19">
        <v>4</v>
      </c>
      <c r="CM9" s="19">
        <v>4</v>
      </c>
      <c r="CN9" s="19">
        <v>4</v>
      </c>
      <c r="CO9" s="19">
        <v>1</v>
      </c>
      <c r="CP9" s="19">
        <v>1</v>
      </c>
      <c r="CQ9" s="60">
        <v>1</v>
      </c>
      <c r="CR9" s="19">
        <v>0</v>
      </c>
      <c r="CS9" s="19">
        <v>0</v>
      </c>
      <c r="CT9" s="60">
        <v>1</v>
      </c>
      <c r="CU9" s="60">
        <v>0</v>
      </c>
      <c r="CV9" s="60">
        <v>1</v>
      </c>
      <c r="CW9" s="60">
        <v>0</v>
      </c>
      <c r="CX9" s="60">
        <v>1</v>
      </c>
      <c r="CY9" s="60">
        <v>0</v>
      </c>
      <c r="CZ9" s="19">
        <v>3</v>
      </c>
      <c r="DA9" s="19">
        <v>5</v>
      </c>
    </row>
    <row r="10" spans="1:110" s="34" customFormat="1">
      <c r="A10" s="40">
        <v>9</v>
      </c>
      <c r="B10" s="18">
        <v>172</v>
      </c>
      <c r="C10" s="19">
        <v>1</v>
      </c>
      <c r="D10" s="19">
        <v>3</v>
      </c>
      <c r="E10" s="19">
        <v>1</v>
      </c>
      <c r="F10" s="19">
        <v>0</v>
      </c>
      <c r="G10" s="19">
        <v>0</v>
      </c>
      <c r="H10" s="19">
        <v>0</v>
      </c>
      <c r="I10" s="19">
        <v>1</v>
      </c>
      <c r="J10" s="19">
        <v>0</v>
      </c>
      <c r="K10" s="19">
        <v>3</v>
      </c>
      <c r="L10" s="19">
        <v>2</v>
      </c>
      <c r="M10" s="19">
        <v>1</v>
      </c>
      <c r="N10" s="19">
        <v>4</v>
      </c>
      <c r="O10" s="19">
        <v>2</v>
      </c>
      <c r="P10" s="19">
        <v>1</v>
      </c>
      <c r="Q10" s="19">
        <v>2</v>
      </c>
      <c r="R10" s="19">
        <v>1</v>
      </c>
      <c r="S10" s="19">
        <v>1</v>
      </c>
      <c r="T10" s="19">
        <v>3</v>
      </c>
      <c r="U10" s="19">
        <v>3</v>
      </c>
      <c r="V10" s="19">
        <v>1</v>
      </c>
      <c r="W10" s="19">
        <v>1</v>
      </c>
      <c r="X10" s="19">
        <v>3</v>
      </c>
      <c r="Y10" s="19">
        <v>1</v>
      </c>
      <c r="Z10" s="19">
        <v>1</v>
      </c>
      <c r="AA10" s="19">
        <v>1</v>
      </c>
      <c r="AB10" s="19">
        <v>2</v>
      </c>
      <c r="AC10" s="19">
        <v>4</v>
      </c>
      <c r="AD10" s="19">
        <v>2</v>
      </c>
      <c r="AE10" s="19">
        <v>1</v>
      </c>
      <c r="AF10" s="19">
        <v>1</v>
      </c>
      <c r="AG10" s="19">
        <v>3</v>
      </c>
      <c r="AH10" s="19">
        <v>2</v>
      </c>
      <c r="AI10" s="19">
        <v>1</v>
      </c>
      <c r="AJ10" s="19">
        <v>1</v>
      </c>
      <c r="AK10" s="19">
        <v>3</v>
      </c>
      <c r="AL10" s="19">
        <v>1</v>
      </c>
      <c r="AM10" s="19">
        <v>1</v>
      </c>
      <c r="AN10" s="19">
        <v>1</v>
      </c>
      <c r="AO10" s="19">
        <v>4</v>
      </c>
      <c r="AP10" s="19">
        <v>4</v>
      </c>
      <c r="AQ10" s="19">
        <v>1</v>
      </c>
      <c r="AR10" s="19">
        <v>1</v>
      </c>
      <c r="AS10" s="19">
        <v>2</v>
      </c>
      <c r="AT10" s="19">
        <v>3</v>
      </c>
      <c r="AU10" s="19">
        <v>1</v>
      </c>
      <c r="AV10" s="19">
        <v>1</v>
      </c>
      <c r="AW10" s="19">
        <v>1</v>
      </c>
      <c r="AX10" s="19">
        <v>1</v>
      </c>
      <c r="AY10" s="19">
        <v>1</v>
      </c>
      <c r="AZ10" s="19">
        <v>1</v>
      </c>
      <c r="BA10" s="19">
        <v>3</v>
      </c>
      <c r="BB10" s="19">
        <v>4</v>
      </c>
      <c r="BC10" s="19">
        <v>3</v>
      </c>
      <c r="BD10" s="19">
        <v>3</v>
      </c>
      <c r="BE10" s="19">
        <v>1</v>
      </c>
      <c r="BF10" s="19">
        <v>1</v>
      </c>
      <c r="BG10" s="19">
        <v>4</v>
      </c>
      <c r="BH10" s="19">
        <v>1</v>
      </c>
      <c r="BI10" s="19">
        <v>1</v>
      </c>
      <c r="BJ10" s="19">
        <v>1</v>
      </c>
      <c r="BK10" s="19">
        <v>1</v>
      </c>
      <c r="BL10" s="19">
        <v>1</v>
      </c>
      <c r="BM10" s="19">
        <v>1</v>
      </c>
      <c r="BN10" s="19">
        <v>2</v>
      </c>
      <c r="BO10" s="19">
        <v>3</v>
      </c>
      <c r="BP10" s="19">
        <v>4</v>
      </c>
      <c r="BQ10" s="19">
        <v>3</v>
      </c>
      <c r="BR10" s="19">
        <v>4</v>
      </c>
      <c r="BS10" s="19">
        <v>4</v>
      </c>
      <c r="BT10" s="19">
        <v>4</v>
      </c>
      <c r="BU10" s="19">
        <v>4</v>
      </c>
      <c r="BV10" s="19">
        <v>3</v>
      </c>
      <c r="BW10" s="19">
        <v>3</v>
      </c>
      <c r="BX10" s="19">
        <v>4</v>
      </c>
      <c r="BY10" s="19">
        <v>4</v>
      </c>
      <c r="BZ10" s="19">
        <v>4</v>
      </c>
      <c r="CA10" s="19">
        <v>4</v>
      </c>
      <c r="CB10" s="19">
        <v>3</v>
      </c>
      <c r="CC10" s="19">
        <v>3</v>
      </c>
      <c r="CD10" s="19">
        <v>4</v>
      </c>
      <c r="CE10" s="19">
        <v>3</v>
      </c>
      <c r="CF10" s="19">
        <v>4</v>
      </c>
      <c r="CG10" s="19">
        <v>4</v>
      </c>
      <c r="CH10" s="19">
        <v>4</v>
      </c>
      <c r="CI10" s="19">
        <v>4</v>
      </c>
      <c r="CJ10" s="19">
        <v>4</v>
      </c>
      <c r="CK10" s="19">
        <v>4</v>
      </c>
      <c r="CL10" s="19">
        <v>4</v>
      </c>
      <c r="CM10" s="19">
        <v>3</v>
      </c>
      <c r="CN10" s="19">
        <v>3</v>
      </c>
      <c r="CO10" s="19">
        <v>1</v>
      </c>
      <c r="CP10" s="19">
        <v>0</v>
      </c>
      <c r="CQ10" s="60">
        <v>1</v>
      </c>
      <c r="CR10" s="19">
        <v>0</v>
      </c>
      <c r="CS10" s="19">
        <v>0</v>
      </c>
      <c r="CT10" s="60">
        <v>1</v>
      </c>
      <c r="CU10" s="60">
        <v>0</v>
      </c>
      <c r="CV10" s="60">
        <v>1</v>
      </c>
      <c r="CW10" s="60">
        <v>0</v>
      </c>
      <c r="CX10" s="60">
        <v>1</v>
      </c>
      <c r="CY10" s="60">
        <v>0</v>
      </c>
      <c r="CZ10" s="19">
        <v>5</v>
      </c>
      <c r="DA10" s="19">
        <v>6</v>
      </c>
    </row>
    <row r="11" spans="1:110" s="34" customFormat="1">
      <c r="A11" s="40">
        <v>10</v>
      </c>
      <c r="B11" s="18">
        <v>158</v>
      </c>
      <c r="C11" s="19">
        <v>1</v>
      </c>
      <c r="D11" s="19">
        <v>1</v>
      </c>
      <c r="E11" s="19">
        <v>3</v>
      </c>
      <c r="F11" s="19">
        <v>1</v>
      </c>
      <c r="G11" s="19">
        <v>1</v>
      </c>
      <c r="H11" s="19">
        <v>1</v>
      </c>
      <c r="I11" s="19">
        <v>0</v>
      </c>
      <c r="J11" s="19">
        <v>0</v>
      </c>
      <c r="K11" s="19">
        <v>2</v>
      </c>
      <c r="L11" s="19">
        <v>3</v>
      </c>
      <c r="M11" s="19">
        <v>1</v>
      </c>
      <c r="N11" s="19">
        <v>2</v>
      </c>
      <c r="O11" s="19">
        <v>2</v>
      </c>
      <c r="P11" s="19">
        <v>4</v>
      </c>
      <c r="Q11" s="19">
        <v>4</v>
      </c>
      <c r="R11" s="19">
        <v>3</v>
      </c>
      <c r="S11" s="19">
        <v>1</v>
      </c>
      <c r="T11" s="19">
        <v>3</v>
      </c>
      <c r="U11" s="19">
        <v>4</v>
      </c>
      <c r="V11" s="19">
        <v>2</v>
      </c>
      <c r="W11" s="19">
        <v>1</v>
      </c>
      <c r="X11" s="19">
        <v>3</v>
      </c>
      <c r="Y11" s="19">
        <v>4</v>
      </c>
      <c r="Z11" s="19">
        <v>2</v>
      </c>
      <c r="AA11" s="19">
        <v>1</v>
      </c>
      <c r="AB11" s="19">
        <v>3</v>
      </c>
      <c r="AC11" s="19">
        <v>3</v>
      </c>
      <c r="AD11" s="19">
        <v>2</v>
      </c>
      <c r="AE11" s="19">
        <v>3</v>
      </c>
      <c r="AF11" s="19">
        <v>1</v>
      </c>
      <c r="AG11" s="19">
        <v>2</v>
      </c>
      <c r="AH11" s="19">
        <v>4</v>
      </c>
      <c r="AI11" s="19">
        <v>3</v>
      </c>
      <c r="AJ11" s="19">
        <v>1</v>
      </c>
      <c r="AK11" s="19">
        <v>3</v>
      </c>
      <c r="AL11" s="19">
        <v>4</v>
      </c>
      <c r="AM11" s="19">
        <v>3</v>
      </c>
      <c r="AN11" s="19">
        <v>1</v>
      </c>
      <c r="AO11" s="19">
        <v>2</v>
      </c>
      <c r="AP11" s="19">
        <v>4</v>
      </c>
      <c r="AQ11" s="19">
        <v>3</v>
      </c>
      <c r="AR11" s="19">
        <v>1</v>
      </c>
      <c r="AS11" s="19">
        <v>2</v>
      </c>
      <c r="AT11" s="19">
        <v>4</v>
      </c>
      <c r="AU11" s="19">
        <v>3</v>
      </c>
      <c r="AV11" s="19">
        <v>1</v>
      </c>
      <c r="AW11" s="19">
        <v>2</v>
      </c>
      <c r="AX11" s="19">
        <v>4</v>
      </c>
      <c r="AY11" s="19">
        <v>3</v>
      </c>
      <c r="AZ11" s="19">
        <v>1</v>
      </c>
      <c r="BA11" s="19">
        <v>2</v>
      </c>
      <c r="BB11" s="19">
        <v>3</v>
      </c>
      <c r="BC11" s="19">
        <v>5</v>
      </c>
      <c r="BD11" s="19">
        <v>3</v>
      </c>
      <c r="BE11" s="19">
        <v>1</v>
      </c>
      <c r="BF11" s="19">
        <v>3</v>
      </c>
      <c r="BG11" s="19">
        <v>5</v>
      </c>
      <c r="BH11" s="19">
        <v>3</v>
      </c>
      <c r="BI11" s="19">
        <v>1</v>
      </c>
      <c r="BJ11" s="19">
        <v>2</v>
      </c>
      <c r="BK11" s="19">
        <v>5</v>
      </c>
      <c r="BL11" s="19">
        <v>3</v>
      </c>
      <c r="BM11" s="19">
        <v>1</v>
      </c>
      <c r="BN11" s="19">
        <v>2</v>
      </c>
      <c r="BO11" s="19">
        <v>2</v>
      </c>
      <c r="BP11" s="19">
        <v>5</v>
      </c>
      <c r="BQ11" s="19">
        <v>5</v>
      </c>
      <c r="BR11" s="19">
        <v>5</v>
      </c>
      <c r="BS11" s="19">
        <v>5</v>
      </c>
      <c r="BT11" s="19">
        <v>5</v>
      </c>
      <c r="BU11" s="19">
        <v>5</v>
      </c>
      <c r="BV11" s="19">
        <v>5</v>
      </c>
      <c r="BW11" s="19">
        <v>5</v>
      </c>
      <c r="BX11" s="19">
        <v>5</v>
      </c>
      <c r="BY11" s="19">
        <v>5</v>
      </c>
      <c r="BZ11" s="19">
        <v>5</v>
      </c>
      <c r="CA11" s="19">
        <v>5</v>
      </c>
      <c r="CB11" s="19">
        <v>4</v>
      </c>
      <c r="CC11" s="19">
        <v>3</v>
      </c>
      <c r="CD11" s="19">
        <v>5</v>
      </c>
      <c r="CE11" s="19">
        <v>4</v>
      </c>
      <c r="CF11" s="19">
        <v>4</v>
      </c>
      <c r="CG11" s="19">
        <v>5</v>
      </c>
      <c r="CH11" s="19">
        <v>5</v>
      </c>
      <c r="CI11" s="19">
        <v>5</v>
      </c>
      <c r="CJ11" s="19">
        <v>4</v>
      </c>
      <c r="CK11" s="19">
        <v>4</v>
      </c>
      <c r="CL11" s="19">
        <v>5</v>
      </c>
      <c r="CM11" s="19">
        <v>5</v>
      </c>
      <c r="CN11" s="19">
        <v>5</v>
      </c>
      <c r="CO11" s="19">
        <v>1</v>
      </c>
      <c r="CP11" s="19">
        <v>1</v>
      </c>
      <c r="CQ11" s="60">
        <v>1</v>
      </c>
      <c r="CR11" s="19">
        <v>0</v>
      </c>
      <c r="CS11" s="19">
        <v>0</v>
      </c>
      <c r="CT11" s="60">
        <v>1</v>
      </c>
      <c r="CU11" s="60">
        <v>0</v>
      </c>
      <c r="CV11" s="60">
        <v>1</v>
      </c>
      <c r="CW11" s="60">
        <v>1</v>
      </c>
      <c r="CX11" s="60">
        <v>1</v>
      </c>
      <c r="CY11" s="60">
        <v>0</v>
      </c>
      <c r="CZ11" s="19">
        <v>2</v>
      </c>
      <c r="DA11" s="19">
        <v>5</v>
      </c>
    </row>
    <row r="12" spans="1:110" s="34" customFormat="1">
      <c r="A12" s="40">
        <v>11</v>
      </c>
      <c r="B12" s="18">
        <v>161</v>
      </c>
      <c r="C12" s="19">
        <v>1</v>
      </c>
      <c r="D12" s="19">
        <v>1</v>
      </c>
      <c r="E12" s="19">
        <v>2</v>
      </c>
      <c r="F12" s="19">
        <v>1</v>
      </c>
      <c r="G12" s="19">
        <v>1</v>
      </c>
      <c r="H12" s="19">
        <v>1</v>
      </c>
      <c r="I12" s="19">
        <v>1</v>
      </c>
      <c r="J12" s="19">
        <v>0</v>
      </c>
      <c r="K12" s="19">
        <v>2</v>
      </c>
      <c r="L12" s="19">
        <v>2</v>
      </c>
      <c r="M12" s="19">
        <v>2</v>
      </c>
      <c r="N12" s="19">
        <v>4</v>
      </c>
      <c r="O12" s="19">
        <v>3</v>
      </c>
      <c r="P12" s="19">
        <v>3</v>
      </c>
      <c r="Q12" s="19">
        <v>3</v>
      </c>
      <c r="R12" s="19">
        <v>5</v>
      </c>
      <c r="S12" s="19">
        <v>3</v>
      </c>
      <c r="T12" s="19">
        <v>3</v>
      </c>
      <c r="U12" s="19">
        <v>3</v>
      </c>
      <c r="V12" s="19">
        <v>4</v>
      </c>
      <c r="W12" s="19">
        <v>3</v>
      </c>
      <c r="X12" s="19">
        <v>3</v>
      </c>
      <c r="Y12" s="19">
        <v>3</v>
      </c>
      <c r="Z12" s="19">
        <v>4</v>
      </c>
      <c r="AA12" s="19">
        <v>3</v>
      </c>
      <c r="AB12" s="19">
        <v>3</v>
      </c>
      <c r="AC12" s="19">
        <v>4</v>
      </c>
      <c r="AD12" s="19">
        <v>3</v>
      </c>
      <c r="AE12" s="19">
        <v>5</v>
      </c>
      <c r="AF12" s="19">
        <v>3</v>
      </c>
      <c r="AG12" s="19">
        <v>3</v>
      </c>
      <c r="AH12" s="19">
        <v>3</v>
      </c>
      <c r="AI12" s="19">
        <v>4</v>
      </c>
      <c r="AJ12" s="19">
        <v>3</v>
      </c>
      <c r="AK12" s="19">
        <v>3</v>
      </c>
      <c r="AL12" s="19">
        <v>3</v>
      </c>
      <c r="AM12" s="19">
        <v>5</v>
      </c>
      <c r="AN12" s="19">
        <v>3</v>
      </c>
      <c r="AO12" s="19">
        <v>3</v>
      </c>
      <c r="AP12" s="19">
        <v>3</v>
      </c>
      <c r="AQ12" s="19">
        <v>5</v>
      </c>
      <c r="AR12" s="19">
        <v>3</v>
      </c>
      <c r="AS12" s="19">
        <v>3</v>
      </c>
      <c r="AT12" s="19">
        <v>3</v>
      </c>
      <c r="AU12" s="19">
        <v>4</v>
      </c>
      <c r="AV12" s="19">
        <v>3</v>
      </c>
      <c r="AW12" s="19">
        <v>3</v>
      </c>
      <c r="AX12" s="19">
        <v>3</v>
      </c>
      <c r="AY12" s="19">
        <v>5</v>
      </c>
      <c r="AZ12" s="19">
        <v>3</v>
      </c>
      <c r="BA12" s="19">
        <v>3</v>
      </c>
      <c r="BB12" s="19">
        <v>4</v>
      </c>
      <c r="BC12" s="19">
        <v>4</v>
      </c>
      <c r="BD12" s="19">
        <v>3</v>
      </c>
      <c r="BE12" s="19">
        <v>1</v>
      </c>
      <c r="BF12" s="19">
        <v>3</v>
      </c>
      <c r="BG12" s="19">
        <v>5</v>
      </c>
      <c r="BH12" s="19">
        <v>1</v>
      </c>
      <c r="BI12" s="19">
        <v>2</v>
      </c>
      <c r="BJ12" s="19">
        <v>2</v>
      </c>
      <c r="BK12" s="19">
        <v>3</v>
      </c>
      <c r="BL12" s="19">
        <v>2</v>
      </c>
      <c r="BM12" s="19">
        <v>1</v>
      </c>
      <c r="BN12" s="19">
        <v>4</v>
      </c>
      <c r="BO12" s="19">
        <v>4</v>
      </c>
      <c r="BP12" s="19">
        <v>5</v>
      </c>
      <c r="BQ12" s="19">
        <v>5</v>
      </c>
      <c r="BR12" s="19">
        <v>5</v>
      </c>
      <c r="BS12" s="19">
        <v>5</v>
      </c>
      <c r="BT12" s="19">
        <v>5</v>
      </c>
      <c r="BU12" s="19">
        <v>5</v>
      </c>
      <c r="BV12" s="19">
        <v>3</v>
      </c>
      <c r="BW12" s="19">
        <v>3</v>
      </c>
      <c r="BX12" s="19">
        <v>3</v>
      </c>
      <c r="BY12" s="19">
        <v>5</v>
      </c>
      <c r="BZ12" s="19">
        <v>5</v>
      </c>
      <c r="CA12" s="19">
        <v>3</v>
      </c>
      <c r="CB12" s="19">
        <v>5</v>
      </c>
      <c r="CC12" s="19">
        <v>5</v>
      </c>
      <c r="CD12" s="19">
        <v>5</v>
      </c>
      <c r="CE12" s="19">
        <v>5</v>
      </c>
      <c r="CF12" s="19">
        <v>5</v>
      </c>
      <c r="CG12" s="19">
        <v>5</v>
      </c>
      <c r="CH12" s="19">
        <v>5</v>
      </c>
      <c r="CI12" s="19">
        <v>5</v>
      </c>
      <c r="CJ12" s="19">
        <v>5</v>
      </c>
      <c r="CK12" s="19">
        <v>5</v>
      </c>
      <c r="CL12" s="19">
        <v>5</v>
      </c>
      <c r="CM12" s="19">
        <v>5</v>
      </c>
      <c r="CN12" s="19">
        <v>5</v>
      </c>
      <c r="CO12" s="19">
        <v>1</v>
      </c>
      <c r="CP12" s="19">
        <v>0</v>
      </c>
      <c r="CQ12" s="60">
        <v>0</v>
      </c>
      <c r="CR12" s="19">
        <v>0</v>
      </c>
      <c r="CS12" s="19">
        <v>0</v>
      </c>
      <c r="CT12" s="60">
        <v>1</v>
      </c>
      <c r="CU12" s="60">
        <v>0</v>
      </c>
      <c r="CV12" s="60">
        <v>1</v>
      </c>
      <c r="CW12" s="60">
        <v>0</v>
      </c>
      <c r="CX12" s="60">
        <v>1</v>
      </c>
      <c r="CY12" s="60">
        <v>1</v>
      </c>
      <c r="CZ12" s="19">
        <v>5</v>
      </c>
      <c r="DA12" s="19">
        <v>6</v>
      </c>
    </row>
    <row r="13" spans="1:110" s="34" customFormat="1">
      <c r="A13" s="40">
        <v>12</v>
      </c>
      <c r="B13" s="18">
        <v>163</v>
      </c>
      <c r="C13" s="19">
        <v>1</v>
      </c>
      <c r="D13" s="19">
        <v>2</v>
      </c>
      <c r="E13" s="19">
        <v>2</v>
      </c>
      <c r="F13" s="19">
        <v>1</v>
      </c>
      <c r="G13" s="19">
        <v>0</v>
      </c>
      <c r="H13" s="19">
        <v>0</v>
      </c>
      <c r="I13" s="19">
        <v>0</v>
      </c>
      <c r="J13" s="19">
        <v>0</v>
      </c>
      <c r="K13" s="19">
        <v>3</v>
      </c>
      <c r="L13" s="19">
        <v>2</v>
      </c>
      <c r="M13" s="19">
        <v>1</v>
      </c>
      <c r="N13" s="19">
        <v>3</v>
      </c>
      <c r="O13" s="19">
        <v>2</v>
      </c>
      <c r="P13" s="19">
        <v>2</v>
      </c>
      <c r="Q13" s="19">
        <v>3</v>
      </c>
      <c r="R13" s="19">
        <v>4</v>
      </c>
      <c r="S13" s="19">
        <v>2</v>
      </c>
      <c r="T13" s="19">
        <v>2</v>
      </c>
      <c r="U13" s="19">
        <v>3</v>
      </c>
      <c r="V13" s="19">
        <v>2</v>
      </c>
      <c r="W13" s="19">
        <v>1</v>
      </c>
      <c r="X13" s="19">
        <v>1</v>
      </c>
      <c r="Y13" s="19">
        <v>1</v>
      </c>
      <c r="Z13" s="19">
        <v>2</v>
      </c>
      <c r="AA13" s="19">
        <v>1</v>
      </c>
      <c r="AB13" s="19">
        <v>1</v>
      </c>
      <c r="AC13" s="19">
        <v>3</v>
      </c>
      <c r="AD13" s="19">
        <v>1</v>
      </c>
      <c r="AE13" s="19">
        <v>3</v>
      </c>
      <c r="AF13" s="19">
        <v>1</v>
      </c>
      <c r="AG13" s="19">
        <v>1</v>
      </c>
      <c r="AH13" s="19">
        <v>2</v>
      </c>
      <c r="AI13" s="19">
        <v>3</v>
      </c>
      <c r="AJ13" s="19">
        <v>1</v>
      </c>
      <c r="AK13" s="19">
        <v>1</v>
      </c>
      <c r="AL13" s="19">
        <v>1</v>
      </c>
      <c r="AM13" s="19">
        <v>2</v>
      </c>
      <c r="AN13" s="19">
        <v>1</v>
      </c>
      <c r="AO13" s="19">
        <v>1</v>
      </c>
      <c r="AP13" s="19">
        <v>2</v>
      </c>
      <c r="AQ13" s="19">
        <v>3</v>
      </c>
      <c r="AR13" s="19">
        <v>1</v>
      </c>
      <c r="AS13" s="19">
        <v>1</v>
      </c>
      <c r="AT13" s="19">
        <v>2</v>
      </c>
      <c r="AU13" s="19">
        <v>3</v>
      </c>
      <c r="AV13" s="19">
        <v>1</v>
      </c>
      <c r="AW13" s="19">
        <v>1</v>
      </c>
      <c r="AX13" s="19">
        <v>1</v>
      </c>
      <c r="AY13" s="19">
        <v>2</v>
      </c>
      <c r="AZ13" s="19">
        <v>1</v>
      </c>
      <c r="BA13" s="19">
        <v>1</v>
      </c>
      <c r="BB13" s="19">
        <v>3</v>
      </c>
      <c r="BC13" s="19">
        <v>3</v>
      </c>
      <c r="BD13" s="19">
        <v>2</v>
      </c>
      <c r="BE13" s="19">
        <v>1</v>
      </c>
      <c r="BF13" s="19">
        <v>2</v>
      </c>
      <c r="BG13" s="19">
        <v>3</v>
      </c>
      <c r="BH13" s="19">
        <v>2</v>
      </c>
      <c r="BI13" s="19">
        <v>1</v>
      </c>
      <c r="BJ13" s="19">
        <v>1</v>
      </c>
      <c r="BK13" s="19">
        <v>1</v>
      </c>
      <c r="BL13" s="19">
        <v>2</v>
      </c>
      <c r="BM13" s="19">
        <v>1</v>
      </c>
      <c r="BN13" s="19">
        <v>3</v>
      </c>
      <c r="BO13" s="19">
        <v>2</v>
      </c>
      <c r="BP13" s="19">
        <v>5</v>
      </c>
      <c r="BQ13" s="19">
        <v>5</v>
      </c>
      <c r="BR13" s="19">
        <v>5</v>
      </c>
      <c r="BS13" s="19">
        <v>4</v>
      </c>
      <c r="BT13" s="19">
        <v>5</v>
      </c>
      <c r="BU13" s="19">
        <v>5</v>
      </c>
      <c r="BV13" s="19">
        <v>2</v>
      </c>
      <c r="BW13" s="19">
        <v>4</v>
      </c>
      <c r="BX13" s="19">
        <v>5</v>
      </c>
      <c r="BY13" s="19">
        <v>4</v>
      </c>
      <c r="BZ13" s="19">
        <v>5</v>
      </c>
      <c r="CA13" s="19">
        <v>4</v>
      </c>
      <c r="CB13" s="19">
        <v>2</v>
      </c>
      <c r="CC13" s="19">
        <v>3</v>
      </c>
      <c r="CD13" s="19">
        <v>4</v>
      </c>
      <c r="CE13" s="19">
        <v>4</v>
      </c>
      <c r="CF13" s="19">
        <v>3</v>
      </c>
      <c r="CG13" s="19">
        <v>4</v>
      </c>
      <c r="CH13" s="19">
        <v>5</v>
      </c>
      <c r="CI13" s="19">
        <v>4</v>
      </c>
      <c r="CJ13" s="19">
        <v>5</v>
      </c>
      <c r="CK13" s="19">
        <v>5</v>
      </c>
      <c r="CL13" s="19">
        <v>4</v>
      </c>
      <c r="CM13" s="19">
        <v>5</v>
      </c>
      <c r="CN13" s="19">
        <v>4</v>
      </c>
      <c r="CO13" s="19">
        <v>1</v>
      </c>
      <c r="CP13" s="19">
        <v>0</v>
      </c>
      <c r="CQ13" s="60">
        <v>1</v>
      </c>
      <c r="CR13" s="19">
        <v>1</v>
      </c>
      <c r="CS13" s="19">
        <v>1</v>
      </c>
      <c r="CT13" s="60">
        <v>1</v>
      </c>
      <c r="CU13" s="60">
        <v>0</v>
      </c>
      <c r="CV13" s="60">
        <v>0</v>
      </c>
      <c r="CW13" s="60">
        <v>0</v>
      </c>
      <c r="CX13" s="60">
        <v>0</v>
      </c>
      <c r="CY13" s="60">
        <v>1</v>
      </c>
      <c r="CZ13" s="19">
        <v>2</v>
      </c>
      <c r="DA13" s="19">
        <v>4</v>
      </c>
    </row>
    <row r="14" spans="1:110" s="34" customFormat="1">
      <c r="A14" s="40">
        <v>13</v>
      </c>
      <c r="B14" s="18">
        <v>180</v>
      </c>
      <c r="C14" s="19">
        <v>2</v>
      </c>
      <c r="D14" s="19">
        <v>2</v>
      </c>
      <c r="E14" s="19">
        <v>3</v>
      </c>
      <c r="F14" s="19">
        <v>1</v>
      </c>
      <c r="G14" s="19">
        <v>0</v>
      </c>
      <c r="H14" s="19">
        <v>1</v>
      </c>
      <c r="I14" s="19">
        <v>0</v>
      </c>
      <c r="J14" s="19">
        <v>0</v>
      </c>
      <c r="K14" s="19">
        <v>3</v>
      </c>
      <c r="L14" s="19">
        <v>3</v>
      </c>
      <c r="M14" s="19">
        <v>1</v>
      </c>
      <c r="N14" s="19">
        <v>2</v>
      </c>
      <c r="O14" s="19">
        <v>2</v>
      </c>
      <c r="P14" s="19">
        <v>2</v>
      </c>
      <c r="Q14" s="19">
        <v>3</v>
      </c>
      <c r="R14" s="19">
        <v>4</v>
      </c>
      <c r="S14" s="19">
        <v>1</v>
      </c>
      <c r="T14" s="19">
        <v>3</v>
      </c>
      <c r="U14" s="19">
        <v>3</v>
      </c>
      <c r="V14" s="19">
        <v>2</v>
      </c>
      <c r="W14" s="19">
        <v>1</v>
      </c>
      <c r="X14" s="19">
        <v>3</v>
      </c>
      <c r="Y14" s="19">
        <v>1</v>
      </c>
      <c r="Z14" s="19">
        <v>1</v>
      </c>
      <c r="AA14" s="19">
        <v>1</v>
      </c>
      <c r="AB14" s="19">
        <v>3</v>
      </c>
      <c r="AC14" s="19">
        <v>3</v>
      </c>
      <c r="AD14" s="19">
        <v>2</v>
      </c>
      <c r="AE14" s="19">
        <v>2</v>
      </c>
      <c r="AF14" s="19">
        <v>1</v>
      </c>
      <c r="AG14" s="19">
        <v>3</v>
      </c>
      <c r="AH14" s="19">
        <v>2</v>
      </c>
      <c r="AI14" s="19">
        <v>2</v>
      </c>
      <c r="AJ14" s="19">
        <v>2</v>
      </c>
      <c r="AK14" s="19">
        <v>3</v>
      </c>
      <c r="AL14" s="19">
        <v>1</v>
      </c>
      <c r="AM14" s="19">
        <v>2</v>
      </c>
      <c r="AN14" s="19">
        <v>2</v>
      </c>
      <c r="AO14" s="19">
        <v>3</v>
      </c>
      <c r="AP14" s="19">
        <v>2</v>
      </c>
      <c r="AQ14" s="19">
        <v>5</v>
      </c>
      <c r="AR14" s="19">
        <v>1</v>
      </c>
      <c r="AS14" s="19">
        <v>2</v>
      </c>
      <c r="AT14" s="19">
        <v>2</v>
      </c>
      <c r="AU14" s="19">
        <v>5</v>
      </c>
      <c r="AV14" s="19">
        <v>2</v>
      </c>
      <c r="AW14" s="19">
        <v>2</v>
      </c>
      <c r="AX14" s="19">
        <v>2</v>
      </c>
      <c r="AY14" s="19">
        <v>5</v>
      </c>
      <c r="AZ14" s="19">
        <v>1</v>
      </c>
      <c r="BA14" s="19">
        <v>2</v>
      </c>
      <c r="BB14" s="19">
        <v>3</v>
      </c>
      <c r="BC14" s="19">
        <v>4</v>
      </c>
      <c r="BD14" s="19">
        <v>1</v>
      </c>
      <c r="BE14" s="19">
        <v>1</v>
      </c>
      <c r="BF14" s="19">
        <v>5</v>
      </c>
      <c r="BG14" s="19">
        <v>4</v>
      </c>
      <c r="BH14" s="19">
        <v>1</v>
      </c>
      <c r="BI14" s="19">
        <v>1</v>
      </c>
      <c r="BJ14" s="19">
        <v>5</v>
      </c>
      <c r="BK14" s="19">
        <v>1</v>
      </c>
      <c r="BL14" s="19">
        <v>1</v>
      </c>
      <c r="BM14" s="19">
        <v>1</v>
      </c>
      <c r="BN14" s="19">
        <v>5</v>
      </c>
      <c r="BO14" s="19">
        <v>3</v>
      </c>
      <c r="BP14" s="19">
        <v>4</v>
      </c>
      <c r="BQ14" s="19">
        <v>4</v>
      </c>
      <c r="BR14" s="19">
        <v>4</v>
      </c>
      <c r="BS14" s="19">
        <v>4</v>
      </c>
      <c r="BT14" s="19">
        <v>4</v>
      </c>
      <c r="BU14" s="19">
        <v>4</v>
      </c>
      <c r="BV14" s="19">
        <v>4</v>
      </c>
      <c r="BW14" s="19">
        <v>4</v>
      </c>
      <c r="BX14" s="19">
        <v>4</v>
      </c>
      <c r="BY14" s="19">
        <v>4</v>
      </c>
      <c r="BZ14" s="19">
        <v>4</v>
      </c>
      <c r="CA14" s="19">
        <v>4</v>
      </c>
      <c r="CB14" s="19">
        <v>3</v>
      </c>
      <c r="CC14" s="19">
        <v>4</v>
      </c>
      <c r="CD14" s="19">
        <v>4</v>
      </c>
      <c r="CE14" s="19">
        <v>4</v>
      </c>
      <c r="CF14" s="19">
        <v>4</v>
      </c>
      <c r="CG14" s="19">
        <v>4</v>
      </c>
      <c r="CH14" s="19">
        <v>4</v>
      </c>
      <c r="CI14" s="19">
        <v>4</v>
      </c>
      <c r="CJ14" s="19">
        <v>3</v>
      </c>
      <c r="CK14" s="19">
        <v>4</v>
      </c>
      <c r="CL14" s="19">
        <v>4</v>
      </c>
      <c r="CM14" s="19">
        <v>4</v>
      </c>
      <c r="CN14" s="19">
        <v>4</v>
      </c>
      <c r="CO14" s="19">
        <v>1</v>
      </c>
      <c r="CP14" s="19">
        <v>1</v>
      </c>
      <c r="CQ14" s="60">
        <v>0</v>
      </c>
      <c r="CR14" s="19">
        <v>0</v>
      </c>
      <c r="CS14" s="19">
        <v>0</v>
      </c>
      <c r="CT14" s="60">
        <v>1</v>
      </c>
      <c r="CU14" s="60">
        <v>0</v>
      </c>
      <c r="CV14" s="60">
        <v>0</v>
      </c>
      <c r="CW14" s="60">
        <v>0</v>
      </c>
      <c r="CX14" s="60">
        <v>1</v>
      </c>
      <c r="CY14" s="60">
        <v>1</v>
      </c>
      <c r="CZ14" s="19">
        <v>2</v>
      </c>
      <c r="DA14" s="19">
        <v>2</v>
      </c>
    </row>
    <row r="15" spans="1:110" s="34" customFormat="1">
      <c r="A15" s="40">
        <v>14</v>
      </c>
      <c r="B15" s="18">
        <v>189</v>
      </c>
      <c r="C15" s="19">
        <v>2</v>
      </c>
      <c r="D15" s="19">
        <v>1</v>
      </c>
      <c r="E15" s="19">
        <v>2</v>
      </c>
      <c r="F15" s="19">
        <v>1</v>
      </c>
      <c r="G15" s="19">
        <v>0</v>
      </c>
      <c r="H15" s="19">
        <v>1</v>
      </c>
      <c r="I15" s="19">
        <v>0</v>
      </c>
      <c r="J15" s="19">
        <v>0</v>
      </c>
      <c r="K15" s="19">
        <v>2</v>
      </c>
      <c r="L15" s="19">
        <v>2</v>
      </c>
      <c r="M15" s="19">
        <v>1</v>
      </c>
      <c r="N15" s="19">
        <v>3</v>
      </c>
      <c r="O15" s="19">
        <v>2</v>
      </c>
      <c r="P15" s="19">
        <v>3</v>
      </c>
      <c r="Q15" s="19">
        <v>3</v>
      </c>
      <c r="R15" s="19">
        <v>2</v>
      </c>
      <c r="S15" s="19">
        <v>1</v>
      </c>
      <c r="T15" s="19">
        <v>2</v>
      </c>
      <c r="U15" s="19">
        <v>3</v>
      </c>
      <c r="V15" s="19">
        <v>2</v>
      </c>
      <c r="W15" s="19">
        <v>1</v>
      </c>
      <c r="X15" s="19">
        <v>2</v>
      </c>
      <c r="Y15" s="19">
        <v>3</v>
      </c>
      <c r="Z15" s="19">
        <v>4</v>
      </c>
      <c r="AA15" s="19">
        <v>1</v>
      </c>
      <c r="AB15" s="19">
        <v>2</v>
      </c>
      <c r="AC15" s="19">
        <v>3</v>
      </c>
      <c r="AD15" s="19">
        <v>2</v>
      </c>
      <c r="AE15" s="19">
        <v>4</v>
      </c>
      <c r="AF15" s="19">
        <v>1</v>
      </c>
      <c r="AG15" s="19">
        <v>1</v>
      </c>
      <c r="AH15" s="19">
        <v>2</v>
      </c>
      <c r="AI15" s="19">
        <v>4</v>
      </c>
      <c r="AJ15" s="19">
        <v>2</v>
      </c>
      <c r="AK15" s="19">
        <v>1</v>
      </c>
      <c r="AL15" s="19">
        <v>1</v>
      </c>
      <c r="AM15" s="19">
        <v>3</v>
      </c>
      <c r="AN15" s="19">
        <v>2</v>
      </c>
      <c r="AO15" s="19">
        <v>1</v>
      </c>
      <c r="AP15" s="19">
        <v>1</v>
      </c>
      <c r="AQ15" s="19">
        <v>4</v>
      </c>
      <c r="AR15" s="19">
        <v>1</v>
      </c>
      <c r="AS15" s="19">
        <v>1</v>
      </c>
      <c r="AT15" s="19">
        <v>2</v>
      </c>
      <c r="AU15" s="19">
        <v>3</v>
      </c>
      <c r="AV15" s="19">
        <v>2</v>
      </c>
      <c r="AW15" s="19">
        <v>1</v>
      </c>
      <c r="AX15" s="19">
        <v>1</v>
      </c>
      <c r="AY15" s="19">
        <v>4</v>
      </c>
      <c r="AZ15" s="19">
        <v>2</v>
      </c>
      <c r="BA15" s="19">
        <v>2</v>
      </c>
      <c r="BB15" s="19">
        <v>3</v>
      </c>
      <c r="BC15" s="19">
        <v>3</v>
      </c>
      <c r="BD15" s="19">
        <v>2</v>
      </c>
      <c r="BE15" s="19">
        <v>1</v>
      </c>
      <c r="BF15" s="19">
        <v>2</v>
      </c>
      <c r="BG15" s="19">
        <v>3</v>
      </c>
      <c r="BH15" s="19">
        <v>2</v>
      </c>
      <c r="BI15" s="19">
        <v>1</v>
      </c>
      <c r="BJ15" s="19">
        <v>2</v>
      </c>
      <c r="BK15" s="19">
        <v>2</v>
      </c>
      <c r="BL15" s="19">
        <v>2</v>
      </c>
      <c r="BM15" s="19">
        <v>1</v>
      </c>
      <c r="BN15" s="19">
        <v>1</v>
      </c>
      <c r="BO15" s="19">
        <v>3</v>
      </c>
      <c r="BP15" s="19">
        <v>4</v>
      </c>
      <c r="BQ15" s="19">
        <v>4</v>
      </c>
      <c r="BR15" s="19">
        <v>3</v>
      </c>
      <c r="BS15" s="19">
        <v>4</v>
      </c>
      <c r="BT15" s="19">
        <v>4</v>
      </c>
      <c r="BU15" s="19">
        <v>4</v>
      </c>
      <c r="BV15" s="19">
        <v>4</v>
      </c>
      <c r="BW15" s="19">
        <v>4</v>
      </c>
      <c r="BX15" s="19">
        <v>4</v>
      </c>
      <c r="BY15" s="19">
        <v>4</v>
      </c>
      <c r="BZ15" s="19">
        <v>4</v>
      </c>
      <c r="CA15" s="19">
        <v>4</v>
      </c>
      <c r="CB15" s="19">
        <v>4</v>
      </c>
      <c r="CC15" s="19">
        <v>3</v>
      </c>
      <c r="CD15" s="19">
        <v>4</v>
      </c>
      <c r="CE15" s="19">
        <v>3</v>
      </c>
      <c r="CF15" s="19">
        <v>4</v>
      </c>
      <c r="CG15" s="19">
        <v>4</v>
      </c>
      <c r="CH15" s="19">
        <v>4</v>
      </c>
      <c r="CI15" s="19">
        <v>3</v>
      </c>
      <c r="CJ15" s="19">
        <v>3</v>
      </c>
      <c r="CK15" s="19">
        <v>3</v>
      </c>
      <c r="CL15" s="19">
        <v>4</v>
      </c>
      <c r="CM15" s="19">
        <v>4</v>
      </c>
      <c r="CN15" s="19">
        <v>4</v>
      </c>
      <c r="CO15" s="19">
        <v>1</v>
      </c>
      <c r="CP15" s="19">
        <v>0</v>
      </c>
      <c r="CQ15" s="60">
        <v>1</v>
      </c>
      <c r="CR15" s="19">
        <v>0</v>
      </c>
      <c r="CS15" s="19">
        <v>1</v>
      </c>
      <c r="CT15" s="60">
        <v>1</v>
      </c>
      <c r="CU15" s="60">
        <v>0</v>
      </c>
      <c r="CV15" s="60">
        <v>1</v>
      </c>
      <c r="CW15" s="60">
        <v>1</v>
      </c>
      <c r="CX15" s="60">
        <v>0</v>
      </c>
      <c r="CY15" s="60">
        <v>0</v>
      </c>
      <c r="CZ15" s="19">
        <v>3</v>
      </c>
      <c r="DA15" s="19">
        <v>3</v>
      </c>
    </row>
    <row r="16" spans="1:110" s="34" customFormat="1">
      <c r="A16" s="40">
        <v>15</v>
      </c>
      <c r="B16" s="18">
        <v>168</v>
      </c>
      <c r="C16" s="19">
        <v>1</v>
      </c>
      <c r="D16" s="19">
        <v>1</v>
      </c>
      <c r="E16" s="19">
        <v>1</v>
      </c>
      <c r="F16" s="19">
        <v>1</v>
      </c>
      <c r="G16" s="19">
        <v>1</v>
      </c>
      <c r="H16" s="19">
        <v>1</v>
      </c>
      <c r="I16" s="19">
        <v>1</v>
      </c>
      <c r="J16" s="19">
        <v>0</v>
      </c>
      <c r="K16" s="19">
        <v>2</v>
      </c>
      <c r="L16" s="19">
        <v>2</v>
      </c>
      <c r="M16" s="19">
        <v>1</v>
      </c>
      <c r="N16" s="19">
        <v>3</v>
      </c>
      <c r="O16" s="19">
        <v>2</v>
      </c>
      <c r="P16" s="19">
        <v>3</v>
      </c>
      <c r="Q16" s="19">
        <v>2</v>
      </c>
      <c r="R16" s="19">
        <v>4</v>
      </c>
      <c r="S16" s="19">
        <v>3</v>
      </c>
      <c r="T16" s="19">
        <v>2</v>
      </c>
      <c r="U16" s="19">
        <v>2</v>
      </c>
      <c r="V16" s="19">
        <v>4</v>
      </c>
      <c r="W16" s="19">
        <v>3</v>
      </c>
      <c r="X16" s="19">
        <v>2</v>
      </c>
      <c r="Y16" s="19">
        <v>3</v>
      </c>
      <c r="Z16" s="19">
        <v>4</v>
      </c>
      <c r="AA16" s="19">
        <v>3</v>
      </c>
      <c r="AB16" s="19">
        <v>3</v>
      </c>
      <c r="AC16" s="19">
        <v>3</v>
      </c>
      <c r="AD16" s="19">
        <v>2</v>
      </c>
      <c r="AE16" s="19">
        <v>4</v>
      </c>
      <c r="AF16" s="19">
        <v>3</v>
      </c>
      <c r="AG16" s="19">
        <v>2</v>
      </c>
      <c r="AH16" s="19">
        <v>2</v>
      </c>
      <c r="AI16" s="19">
        <v>4</v>
      </c>
      <c r="AJ16" s="19">
        <v>3</v>
      </c>
      <c r="AK16" s="19">
        <v>3</v>
      </c>
      <c r="AL16" s="19">
        <v>2</v>
      </c>
      <c r="AM16" s="19">
        <v>3</v>
      </c>
      <c r="AN16" s="19">
        <v>3</v>
      </c>
      <c r="AO16" s="19">
        <v>3</v>
      </c>
      <c r="AP16" s="19">
        <v>3</v>
      </c>
      <c r="AQ16" s="19">
        <v>4</v>
      </c>
      <c r="AR16" s="19">
        <v>3</v>
      </c>
      <c r="AS16" s="19">
        <v>3</v>
      </c>
      <c r="AT16" s="19">
        <v>3</v>
      </c>
      <c r="AU16" s="19">
        <v>4</v>
      </c>
      <c r="AV16" s="19">
        <v>3</v>
      </c>
      <c r="AW16" s="19">
        <v>3</v>
      </c>
      <c r="AX16" s="19">
        <v>3</v>
      </c>
      <c r="AY16" s="19">
        <v>3</v>
      </c>
      <c r="AZ16" s="19">
        <v>3</v>
      </c>
      <c r="BA16" s="19">
        <v>3</v>
      </c>
      <c r="BB16" s="19">
        <v>3</v>
      </c>
      <c r="BC16" s="19">
        <v>4</v>
      </c>
      <c r="BD16" s="19">
        <v>4</v>
      </c>
      <c r="BE16" s="19">
        <v>3</v>
      </c>
      <c r="BF16" s="19">
        <v>3</v>
      </c>
      <c r="BG16" s="19">
        <v>4</v>
      </c>
      <c r="BH16" s="19">
        <v>2</v>
      </c>
      <c r="BI16" s="19">
        <v>3</v>
      </c>
      <c r="BJ16" s="19">
        <v>3</v>
      </c>
      <c r="BK16" s="19">
        <v>3</v>
      </c>
      <c r="BL16" s="19">
        <v>2</v>
      </c>
      <c r="BM16" s="19">
        <v>3</v>
      </c>
      <c r="BN16" s="19">
        <v>3</v>
      </c>
      <c r="BO16" s="19">
        <v>3</v>
      </c>
      <c r="BP16" s="19">
        <v>4</v>
      </c>
      <c r="BQ16" s="19">
        <v>4</v>
      </c>
      <c r="BR16" s="19">
        <v>3</v>
      </c>
      <c r="BS16" s="19">
        <v>3</v>
      </c>
      <c r="BT16" s="19">
        <v>4</v>
      </c>
      <c r="BU16" s="19">
        <v>4</v>
      </c>
      <c r="BV16" s="19">
        <v>2</v>
      </c>
      <c r="BW16" s="19">
        <v>3</v>
      </c>
      <c r="BX16" s="19">
        <v>3</v>
      </c>
      <c r="BY16" s="19">
        <v>4</v>
      </c>
      <c r="BZ16" s="19">
        <v>4</v>
      </c>
      <c r="CA16" s="19">
        <v>4</v>
      </c>
      <c r="CB16" s="19">
        <v>4</v>
      </c>
      <c r="CC16" s="19">
        <v>4</v>
      </c>
      <c r="CD16" s="19">
        <v>4</v>
      </c>
      <c r="CE16" s="19">
        <v>3</v>
      </c>
      <c r="CF16" s="19">
        <v>4</v>
      </c>
      <c r="CG16" s="19">
        <v>4</v>
      </c>
      <c r="CH16" s="19">
        <v>4</v>
      </c>
      <c r="CI16" s="19">
        <v>4</v>
      </c>
      <c r="CJ16" s="19">
        <v>4</v>
      </c>
      <c r="CK16" s="19">
        <v>4</v>
      </c>
      <c r="CL16" s="19">
        <v>4</v>
      </c>
      <c r="CM16" s="19">
        <v>4</v>
      </c>
      <c r="CN16" s="19">
        <v>4</v>
      </c>
      <c r="CO16" s="19">
        <v>1</v>
      </c>
      <c r="CP16" s="19">
        <v>0</v>
      </c>
      <c r="CQ16" s="60">
        <v>1</v>
      </c>
      <c r="CR16" s="19">
        <v>0</v>
      </c>
      <c r="CS16" s="19">
        <v>1</v>
      </c>
      <c r="CT16" s="60">
        <v>1</v>
      </c>
      <c r="CU16" s="60">
        <v>0</v>
      </c>
      <c r="CV16" s="60">
        <v>1</v>
      </c>
      <c r="CW16" s="60">
        <v>0</v>
      </c>
      <c r="CX16" s="60">
        <v>1</v>
      </c>
      <c r="CY16" s="60">
        <v>1</v>
      </c>
      <c r="CZ16" s="19">
        <v>3</v>
      </c>
      <c r="DA16" s="19">
        <v>3</v>
      </c>
    </row>
    <row r="17" spans="1:105" s="34" customFormat="1">
      <c r="A17" s="40">
        <v>16</v>
      </c>
      <c r="B17" s="18">
        <v>182</v>
      </c>
      <c r="C17" s="19">
        <v>2</v>
      </c>
      <c r="D17" s="19">
        <v>2</v>
      </c>
      <c r="E17" s="19">
        <v>3</v>
      </c>
      <c r="F17" s="19">
        <v>1</v>
      </c>
      <c r="G17" s="19">
        <v>0</v>
      </c>
      <c r="H17" s="19">
        <v>1</v>
      </c>
      <c r="I17" s="19">
        <v>0</v>
      </c>
      <c r="J17" s="19">
        <v>0</v>
      </c>
      <c r="K17" s="19">
        <v>3</v>
      </c>
      <c r="L17" s="19">
        <v>3</v>
      </c>
      <c r="M17" s="19">
        <v>2</v>
      </c>
      <c r="N17" s="19">
        <v>2</v>
      </c>
      <c r="O17" s="19">
        <v>1</v>
      </c>
      <c r="P17" s="19">
        <v>4</v>
      </c>
      <c r="Q17" s="19">
        <v>2</v>
      </c>
      <c r="R17" s="19">
        <v>3</v>
      </c>
      <c r="S17" s="19">
        <v>1</v>
      </c>
      <c r="T17" s="19">
        <v>3</v>
      </c>
      <c r="U17" s="19">
        <v>2</v>
      </c>
      <c r="V17" s="19">
        <v>2</v>
      </c>
      <c r="W17" s="19">
        <v>1</v>
      </c>
      <c r="X17" s="19">
        <v>3</v>
      </c>
      <c r="Y17" s="19">
        <v>2</v>
      </c>
      <c r="Z17" s="19">
        <v>2</v>
      </c>
      <c r="AA17" s="19">
        <v>1</v>
      </c>
      <c r="AB17" s="19">
        <v>2</v>
      </c>
      <c r="AC17" s="19">
        <v>4</v>
      </c>
      <c r="AD17" s="19">
        <v>2</v>
      </c>
      <c r="AE17" s="19">
        <v>3</v>
      </c>
      <c r="AF17" s="19">
        <v>1</v>
      </c>
      <c r="AG17" s="19">
        <v>2</v>
      </c>
      <c r="AH17" s="19">
        <v>2</v>
      </c>
      <c r="AI17" s="19">
        <v>2</v>
      </c>
      <c r="AJ17" s="19">
        <v>1</v>
      </c>
      <c r="AK17" s="19">
        <v>2</v>
      </c>
      <c r="AL17" s="19">
        <v>1</v>
      </c>
      <c r="AM17" s="19">
        <v>2</v>
      </c>
      <c r="AN17" s="19">
        <v>1</v>
      </c>
      <c r="AO17" s="19">
        <v>2</v>
      </c>
      <c r="AP17" s="19">
        <v>3</v>
      </c>
      <c r="AQ17" s="19">
        <v>2</v>
      </c>
      <c r="AR17" s="19">
        <v>1</v>
      </c>
      <c r="AS17" s="19">
        <v>2</v>
      </c>
      <c r="AT17" s="19">
        <v>2</v>
      </c>
      <c r="AU17" s="19">
        <v>2</v>
      </c>
      <c r="AV17" s="19">
        <v>1</v>
      </c>
      <c r="AW17" s="19">
        <v>2</v>
      </c>
      <c r="AX17" s="19">
        <v>2</v>
      </c>
      <c r="AY17" s="19">
        <v>2</v>
      </c>
      <c r="AZ17" s="19">
        <v>1</v>
      </c>
      <c r="BA17" s="19">
        <v>2</v>
      </c>
      <c r="BB17" s="19">
        <v>3</v>
      </c>
      <c r="BC17" s="19">
        <v>3</v>
      </c>
      <c r="BD17" s="19">
        <v>1</v>
      </c>
      <c r="BE17" s="19">
        <v>1</v>
      </c>
      <c r="BF17" s="19">
        <v>3</v>
      </c>
      <c r="BG17" s="19">
        <v>3</v>
      </c>
      <c r="BH17" s="19">
        <v>1</v>
      </c>
      <c r="BI17" s="19">
        <v>1</v>
      </c>
      <c r="BJ17" s="19">
        <v>3</v>
      </c>
      <c r="BK17" s="19">
        <v>2</v>
      </c>
      <c r="BL17" s="19">
        <v>1</v>
      </c>
      <c r="BM17" s="19">
        <v>1</v>
      </c>
      <c r="BN17" s="19">
        <v>3</v>
      </c>
      <c r="BO17" s="19">
        <v>2</v>
      </c>
      <c r="BP17" s="19">
        <v>5</v>
      </c>
      <c r="BQ17" s="19">
        <v>5</v>
      </c>
      <c r="BR17" s="19">
        <v>4</v>
      </c>
      <c r="BS17" s="19">
        <v>4</v>
      </c>
      <c r="BT17" s="19">
        <v>5</v>
      </c>
      <c r="BU17" s="19">
        <v>5</v>
      </c>
      <c r="BV17" s="19">
        <v>4</v>
      </c>
      <c r="BW17" s="19">
        <v>5</v>
      </c>
      <c r="BX17" s="19">
        <v>5</v>
      </c>
      <c r="BY17" s="19">
        <v>4</v>
      </c>
      <c r="BZ17" s="19">
        <v>4</v>
      </c>
      <c r="CA17" s="19">
        <v>5</v>
      </c>
      <c r="CB17" s="19">
        <v>4</v>
      </c>
      <c r="CC17" s="19">
        <v>4</v>
      </c>
      <c r="CD17" s="19">
        <v>5</v>
      </c>
      <c r="CE17" s="19">
        <v>4</v>
      </c>
      <c r="CF17" s="19">
        <v>4</v>
      </c>
      <c r="CG17" s="19">
        <v>5</v>
      </c>
      <c r="CH17" s="19">
        <v>5</v>
      </c>
      <c r="CI17" s="19">
        <v>5</v>
      </c>
      <c r="CJ17" s="19">
        <v>4</v>
      </c>
      <c r="CK17" s="19">
        <v>4</v>
      </c>
      <c r="CL17" s="19">
        <v>5</v>
      </c>
      <c r="CM17" s="19">
        <v>4</v>
      </c>
      <c r="CN17" s="19">
        <v>3</v>
      </c>
      <c r="CO17" s="19">
        <v>1</v>
      </c>
      <c r="CP17" s="19">
        <v>0</v>
      </c>
      <c r="CQ17" s="60">
        <v>1</v>
      </c>
      <c r="CR17" s="19">
        <v>0</v>
      </c>
      <c r="CS17" s="19">
        <v>1</v>
      </c>
      <c r="CT17" s="60">
        <v>1</v>
      </c>
      <c r="CU17" s="60">
        <v>0</v>
      </c>
      <c r="CV17" s="60">
        <v>1</v>
      </c>
      <c r="CW17" s="60">
        <v>0</v>
      </c>
      <c r="CX17" s="60">
        <v>1</v>
      </c>
      <c r="CY17" s="60">
        <v>1</v>
      </c>
      <c r="CZ17" s="19">
        <v>2</v>
      </c>
      <c r="DA17" s="19">
        <v>2</v>
      </c>
    </row>
    <row r="18" spans="1:105" s="34" customFormat="1">
      <c r="A18" s="40">
        <v>17</v>
      </c>
      <c r="B18" s="18">
        <v>162</v>
      </c>
      <c r="C18" s="19">
        <v>1</v>
      </c>
      <c r="D18" s="19">
        <v>2</v>
      </c>
      <c r="E18" s="19">
        <v>3</v>
      </c>
      <c r="F18" s="19">
        <v>1</v>
      </c>
      <c r="G18" s="19">
        <v>1</v>
      </c>
      <c r="H18" s="19">
        <v>1</v>
      </c>
      <c r="I18" s="19">
        <v>0</v>
      </c>
      <c r="J18" s="19">
        <v>0</v>
      </c>
      <c r="K18" s="19">
        <v>2</v>
      </c>
      <c r="L18" s="19">
        <v>3</v>
      </c>
      <c r="M18" s="19">
        <v>1</v>
      </c>
      <c r="N18" s="19">
        <v>4</v>
      </c>
      <c r="O18" s="19">
        <v>2</v>
      </c>
      <c r="P18" s="19">
        <v>3</v>
      </c>
      <c r="Q18" s="19">
        <v>4</v>
      </c>
      <c r="R18" s="19">
        <v>3</v>
      </c>
      <c r="S18" s="19">
        <v>1</v>
      </c>
      <c r="T18" s="19">
        <v>4</v>
      </c>
      <c r="U18" s="19">
        <v>4</v>
      </c>
      <c r="V18" s="19">
        <v>3</v>
      </c>
      <c r="W18" s="19">
        <v>1</v>
      </c>
      <c r="X18" s="19">
        <v>3</v>
      </c>
      <c r="Y18" s="19">
        <v>4</v>
      </c>
      <c r="Z18" s="19">
        <v>3</v>
      </c>
      <c r="AA18" s="19">
        <v>1</v>
      </c>
      <c r="AB18" s="19">
        <v>4</v>
      </c>
      <c r="AC18" s="19">
        <v>3</v>
      </c>
      <c r="AD18" s="19">
        <v>3</v>
      </c>
      <c r="AE18" s="19">
        <v>4</v>
      </c>
      <c r="AF18" s="19">
        <v>2</v>
      </c>
      <c r="AG18" s="19">
        <v>3</v>
      </c>
      <c r="AH18" s="19">
        <v>3</v>
      </c>
      <c r="AI18" s="19">
        <v>4</v>
      </c>
      <c r="AJ18" s="19">
        <v>1</v>
      </c>
      <c r="AK18" s="19">
        <v>2</v>
      </c>
      <c r="AL18" s="19">
        <v>3</v>
      </c>
      <c r="AM18" s="19">
        <v>3</v>
      </c>
      <c r="AN18" s="19">
        <v>2</v>
      </c>
      <c r="AO18" s="19">
        <v>3</v>
      </c>
      <c r="AP18" s="19">
        <v>3</v>
      </c>
      <c r="AQ18" s="19">
        <v>4</v>
      </c>
      <c r="AR18" s="19">
        <v>1</v>
      </c>
      <c r="AS18" s="19">
        <v>2</v>
      </c>
      <c r="AT18" s="19">
        <v>4</v>
      </c>
      <c r="AU18" s="19">
        <v>4</v>
      </c>
      <c r="AV18" s="19">
        <v>1</v>
      </c>
      <c r="AW18" s="19">
        <v>2</v>
      </c>
      <c r="AX18" s="19">
        <v>3</v>
      </c>
      <c r="AY18" s="19">
        <v>3</v>
      </c>
      <c r="AZ18" s="19">
        <v>1</v>
      </c>
      <c r="BA18" s="19">
        <v>3</v>
      </c>
      <c r="BB18" s="19">
        <v>3</v>
      </c>
      <c r="BC18" s="19">
        <v>4</v>
      </c>
      <c r="BD18" s="19">
        <v>3</v>
      </c>
      <c r="BE18" s="19">
        <v>1</v>
      </c>
      <c r="BF18" s="19">
        <v>3</v>
      </c>
      <c r="BG18" s="19">
        <v>4</v>
      </c>
      <c r="BH18" s="19">
        <v>3</v>
      </c>
      <c r="BI18" s="19">
        <v>1</v>
      </c>
      <c r="BJ18" s="19">
        <v>2</v>
      </c>
      <c r="BK18" s="19">
        <v>3</v>
      </c>
      <c r="BL18" s="19">
        <v>2</v>
      </c>
      <c r="BM18" s="19">
        <v>1</v>
      </c>
      <c r="BN18" s="19">
        <v>3</v>
      </c>
      <c r="BO18" s="19">
        <v>3</v>
      </c>
      <c r="BP18" s="19">
        <v>4</v>
      </c>
      <c r="BQ18" s="19">
        <v>4</v>
      </c>
      <c r="BR18" s="19">
        <v>4</v>
      </c>
      <c r="BS18" s="19">
        <v>4</v>
      </c>
      <c r="BT18" s="19">
        <v>5</v>
      </c>
      <c r="BU18" s="19">
        <v>5</v>
      </c>
      <c r="BV18" s="19">
        <v>4</v>
      </c>
      <c r="BW18" s="19">
        <v>4</v>
      </c>
      <c r="BX18" s="19">
        <v>5</v>
      </c>
      <c r="BY18" s="19">
        <v>5</v>
      </c>
      <c r="BZ18" s="19">
        <v>4</v>
      </c>
      <c r="CA18" s="19">
        <v>4</v>
      </c>
      <c r="CB18" s="19">
        <v>4</v>
      </c>
      <c r="CC18" s="19">
        <v>3</v>
      </c>
      <c r="CD18" s="19">
        <v>4</v>
      </c>
      <c r="CE18" s="19">
        <v>4</v>
      </c>
      <c r="CF18" s="19">
        <v>4</v>
      </c>
      <c r="CG18" s="19">
        <v>4</v>
      </c>
      <c r="CH18" s="19">
        <v>5</v>
      </c>
      <c r="CI18" s="19">
        <v>5</v>
      </c>
      <c r="CJ18" s="19">
        <v>4</v>
      </c>
      <c r="CK18" s="19">
        <v>4</v>
      </c>
      <c r="CL18" s="19">
        <v>4</v>
      </c>
      <c r="CM18" s="19">
        <v>4</v>
      </c>
      <c r="CN18" s="19">
        <v>5</v>
      </c>
      <c r="CO18" s="19">
        <v>1</v>
      </c>
      <c r="CP18" s="19">
        <v>1</v>
      </c>
      <c r="CQ18" s="60">
        <v>0</v>
      </c>
      <c r="CR18" s="19">
        <v>1</v>
      </c>
      <c r="CS18" s="19">
        <v>0</v>
      </c>
      <c r="CT18" s="60">
        <v>1</v>
      </c>
      <c r="CU18" s="60">
        <v>0</v>
      </c>
      <c r="CV18" s="60">
        <v>1</v>
      </c>
      <c r="CW18" s="60">
        <v>0</v>
      </c>
      <c r="CX18" s="60">
        <v>1</v>
      </c>
      <c r="CY18" s="60">
        <v>1</v>
      </c>
      <c r="CZ18" s="19">
        <v>4</v>
      </c>
      <c r="DA18" s="19">
        <v>4</v>
      </c>
    </row>
    <row r="19" spans="1:105" s="34" customFormat="1">
      <c r="A19" s="40">
        <v>18</v>
      </c>
      <c r="B19" s="18">
        <v>184</v>
      </c>
      <c r="C19" s="19">
        <v>2</v>
      </c>
      <c r="D19" s="19">
        <v>1</v>
      </c>
      <c r="E19" s="19">
        <v>1</v>
      </c>
      <c r="F19" s="19">
        <v>0</v>
      </c>
      <c r="G19" s="19">
        <v>0</v>
      </c>
      <c r="H19" s="19">
        <v>0</v>
      </c>
      <c r="I19" s="19">
        <v>1</v>
      </c>
      <c r="J19" s="19">
        <v>0</v>
      </c>
      <c r="K19" s="19">
        <v>3</v>
      </c>
      <c r="L19" s="19">
        <v>2</v>
      </c>
      <c r="M19" s="19">
        <v>1</v>
      </c>
      <c r="N19" s="19">
        <v>3</v>
      </c>
      <c r="O19" s="19">
        <v>2</v>
      </c>
      <c r="P19" s="19">
        <v>2</v>
      </c>
      <c r="Q19" s="19">
        <v>2</v>
      </c>
      <c r="R19" s="19">
        <v>3</v>
      </c>
      <c r="S19" s="19">
        <v>1</v>
      </c>
      <c r="T19" s="19">
        <v>3</v>
      </c>
      <c r="U19" s="19">
        <v>2</v>
      </c>
      <c r="V19" s="19">
        <v>4</v>
      </c>
      <c r="W19" s="19">
        <v>1</v>
      </c>
      <c r="X19" s="19">
        <v>1</v>
      </c>
      <c r="Y19" s="19">
        <v>1</v>
      </c>
      <c r="Z19" s="19">
        <v>4</v>
      </c>
      <c r="AA19" s="19">
        <v>1</v>
      </c>
      <c r="AB19" s="19">
        <v>2</v>
      </c>
      <c r="AC19" s="19">
        <v>1</v>
      </c>
      <c r="AD19" s="19">
        <v>3</v>
      </c>
      <c r="AE19" s="19">
        <v>3</v>
      </c>
      <c r="AF19" s="19">
        <v>1</v>
      </c>
      <c r="AG19" s="19">
        <v>3</v>
      </c>
      <c r="AH19" s="19">
        <v>3</v>
      </c>
      <c r="AI19" s="19">
        <v>3</v>
      </c>
      <c r="AJ19" s="19">
        <v>1</v>
      </c>
      <c r="AK19" s="19">
        <v>1</v>
      </c>
      <c r="AL19" s="19">
        <v>1</v>
      </c>
      <c r="AM19" s="19">
        <v>4</v>
      </c>
      <c r="AN19" s="19">
        <v>1</v>
      </c>
      <c r="AO19" s="19">
        <v>2</v>
      </c>
      <c r="AP19" s="19">
        <v>3</v>
      </c>
      <c r="AQ19" s="19">
        <v>5</v>
      </c>
      <c r="AR19" s="19">
        <v>1</v>
      </c>
      <c r="AS19" s="19">
        <v>2</v>
      </c>
      <c r="AT19" s="19">
        <v>3</v>
      </c>
      <c r="AU19" s="19">
        <v>5</v>
      </c>
      <c r="AV19" s="19">
        <v>1</v>
      </c>
      <c r="AW19" s="19">
        <v>1</v>
      </c>
      <c r="AX19" s="19">
        <v>1</v>
      </c>
      <c r="AY19" s="19">
        <v>5</v>
      </c>
      <c r="AZ19" s="19">
        <v>1</v>
      </c>
      <c r="BA19" s="19">
        <v>2</v>
      </c>
      <c r="BB19" s="19">
        <v>1</v>
      </c>
      <c r="BC19" s="19">
        <v>4</v>
      </c>
      <c r="BD19" s="19">
        <v>4</v>
      </c>
      <c r="BE19" s="19">
        <v>1</v>
      </c>
      <c r="BF19" s="19">
        <v>1</v>
      </c>
      <c r="BG19" s="19">
        <v>4</v>
      </c>
      <c r="BH19" s="19">
        <v>4</v>
      </c>
      <c r="BI19" s="19">
        <v>1</v>
      </c>
      <c r="BJ19" s="19">
        <v>1</v>
      </c>
      <c r="BK19" s="19">
        <v>2</v>
      </c>
      <c r="BL19" s="19">
        <v>5</v>
      </c>
      <c r="BM19" s="19">
        <v>1</v>
      </c>
      <c r="BN19" s="19">
        <v>4</v>
      </c>
      <c r="BO19" s="19">
        <v>2</v>
      </c>
      <c r="BP19" s="19">
        <v>5</v>
      </c>
      <c r="BQ19" s="19">
        <v>4</v>
      </c>
      <c r="BR19" s="19">
        <v>5</v>
      </c>
      <c r="BS19" s="19">
        <v>5</v>
      </c>
      <c r="BT19" s="19">
        <v>5</v>
      </c>
      <c r="BU19" s="19">
        <v>5</v>
      </c>
      <c r="BV19" s="19">
        <v>4</v>
      </c>
      <c r="BW19" s="19">
        <v>5</v>
      </c>
      <c r="BX19" s="19">
        <v>5</v>
      </c>
      <c r="BY19" s="19">
        <v>5</v>
      </c>
      <c r="BZ19" s="19">
        <v>5</v>
      </c>
      <c r="CA19" s="19">
        <v>4</v>
      </c>
      <c r="CB19" s="19">
        <v>4</v>
      </c>
      <c r="CC19" s="19">
        <v>4</v>
      </c>
      <c r="CD19" s="19">
        <v>4</v>
      </c>
      <c r="CE19" s="19">
        <v>4</v>
      </c>
      <c r="CF19" s="19">
        <v>4</v>
      </c>
      <c r="CG19" s="19">
        <v>4</v>
      </c>
      <c r="CH19" s="19">
        <v>4</v>
      </c>
      <c r="CI19" s="19">
        <v>5</v>
      </c>
      <c r="CJ19" s="19">
        <v>5</v>
      </c>
      <c r="CK19" s="19">
        <v>5</v>
      </c>
      <c r="CL19" s="19">
        <v>4</v>
      </c>
      <c r="CM19" s="19">
        <v>4</v>
      </c>
      <c r="CN19" s="19">
        <v>2</v>
      </c>
      <c r="CO19" s="19">
        <v>0</v>
      </c>
      <c r="CP19" s="19">
        <v>0</v>
      </c>
      <c r="CQ19" s="60">
        <v>1</v>
      </c>
      <c r="CR19" s="19">
        <v>0</v>
      </c>
      <c r="CS19" s="19">
        <v>0</v>
      </c>
      <c r="CT19" s="60">
        <v>1</v>
      </c>
      <c r="CU19" s="60">
        <v>0</v>
      </c>
      <c r="CV19" s="60">
        <v>1</v>
      </c>
      <c r="CW19" s="60">
        <v>0</v>
      </c>
      <c r="CX19" s="60">
        <v>1</v>
      </c>
      <c r="CY19" s="60">
        <v>1</v>
      </c>
      <c r="CZ19" s="19">
        <v>4</v>
      </c>
      <c r="DA19" s="19">
        <v>6</v>
      </c>
    </row>
    <row r="20" spans="1:105" s="34" customFormat="1">
      <c r="A20" s="40">
        <v>19</v>
      </c>
      <c r="B20" s="18">
        <v>165</v>
      </c>
      <c r="C20" s="19">
        <v>1</v>
      </c>
      <c r="D20" s="19">
        <v>2</v>
      </c>
      <c r="E20" s="19">
        <v>3</v>
      </c>
      <c r="F20" s="19">
        <v>1</v>
      </c>
      <c r="G20" s="19">
        <v>1</v>
      </c>
      <c r="H20" s="19">
        <v>1</v>
      </c>
      <c r="I20" s="19">
        <v>0</v>
      </c>
      <c r="J20" s="19">
        <v>0</v>
      </c>
      <c r="K20" s="19">
        <v>1</v>
      </c>
      <c r="L20" s="19">
        <v>3</v>
      </c>
      <c r="M20" s="19">
        <v>1</v>
      </c>
      <c r="N20" s="19">
        <v>3</v>
      </c>
      <c r="O20" s="19">
        <v>2</v>
      </c>
      <c r="P20" s="19">
        <v>4</v>
      </c>
      <c r="Q20" s="19">
        <v>3</v>
      </c>
      <c r="R20" s="19">
        <v>2</v>
      </c>
      <c r="S20" s="19">
        <v>1</v>
      </c>
      <c r="T20" s="19">
        <v>4</v>
      </c>
      <c r="U20" s="19">
        <v>3</v>
      </c>
      <c r="V20" s="19">
        <v>2</v>
      </c>
      <c r="W20" s="19">
        <v>3</v>
      </c>
      <c r="X20" s="19">
        <v>3</v>
      </c>
      <c r="Y20" s="19">
        <v>0</v>
      </c>
      <c r="Z20" s="19">
        <v>4</v>
      </c>
      <c r="AA20" s="19">
        <v>3</v>
      </c>
      <c r="AB20" s="19">
        <v>4</v>
      </c>
      <c r="AC20" s="19">
        <v>3</v>
      </c>
      <c r="AD20" s="19">
        <v>3</v>
      </c>
      <c r="AE20" s="19">
        <v>2</v>
      </c>
      <c r="AF20" s="19">
        <v>2</v>
      </c>
      <c r="AG20" s="19">
        <v>2</v>
      </c>
      <c r="AH20" s="19">
        <v>3</v>
      </c>
      <c r="AI20" s="19">
        <v>2</v>
      </c>
      <c r="AJ20" s="19">
        <v>1</v>
      </c>
      <c r="AK20" s="19">
        <v>2</v>
      </c>
      <c r="AL20" s="19">
        <v>2</v>
      </c>
      <c r="AM20" s="19">
        <v>3</v>
      </c>
      <c r="AN20" s="19">
        <v>1</v>
      </c>
      <c r="AO20" s="19">
        <v>3</v>
      </c>
      <c r="AP20" s="19">
        <v>2</v>
      </c>
      <c r="AQ20" s="19">
        <v>2</v>
      </c>
      <c r="AR20" s="19">
        <v>1</v>
      </c>
      <c r="AS20" s="19">
        <v>2</v>
      </c>
      <c r="AT20" s="19">
        <v>3</v>
      </c>
      <c r="AU20" s="19">
        <v>3</v>
      </c>
      <c r="AV20" s="19">
        <v>1</v>
      </c>
      <c r="AW20" s="19">
        <v>1</v>
      </c>
      <c r="AX20" s="19">
        <v>2</v>
      </c>
      <c r="AY20" s="19">
        <v>3</v>
      </c>
      <c r="AZ20" s="19">
        <v>1</v>
      </c>
      <c r="BA20" s="19">
        <v>3</v>
      </c>
      <c r="BB20" s="19">
        <v>3</v>
      </c>
      <c r="BC20" s="19">
        <v>4</v>
      </c>
      <c r="BD20" s="19">
        <v>1</v>
      </c>
      <c r="BE20" s="19">
        <v>1</v>
      </c>
      <c r="BF20" s="19">
        <v>4</v>
      </c>
      <c r="BG20" s="19">
        <v>4</v>
      </c>
      <c r="BH20" s="19">
        <v>1</v>
      </c>
      <c r="BI20" s="19">
        <v>4</v>
      </c>
      <c r="BJ20" s="19">
        <v>2</v>
      </c>
      <c r="BK20" s="19">
        <v>2</v>
      </c>
      <c r="BL20" s="19">
        <v>1</v>
      </c>
      <c r="BM20" s="19">
        <v>1</v>
      </c>
      <c r="BN20" s="19">
        <v>4</v>
      </c>
      <c r="BO20" s="19">
        <v>3</v>
      </c>
      <c r="BP20" s="19">
        <v>5</v>
      </c>
      <c r="BQ20" s="19">
        <v>5</v>
      </c>
      <c r="BR20" s="19">
        <v>5</v>
      </c>
      <c r="BS20" s="19">
        <v>5</v>
      </c>
      <c r="BT20" s="19">
        <v>5</v>
      </c>
      <c r="BU20" s="19">
        <v>5</v>
      </c>
      <c r="BV20" s="19">
        <v>4</v>
      </c>
      <c r="BW20" s="19">
        <v>4</v>
      </c>
      <c r="BX20" s="19">
        <v>4</v>
      </c>
      <c r="BY20" s="19">
        <v>4</v>
      </c>
      <c r="BZ20" s="19">
        <v>4</v>
      </c>
      <c r="CA20" s="19">
        <v>4</v>
      </c>
      <c r="CB20" s="19">
        <v>4</v>
      </c>
      <c r="CC20" s="19">
        <v>4</v>
      </c>
      <c r="CD20" s="19">
        <v>4</v>
      </c>
      <c r="CE20" s="19">
        <v>4</v>
      </c>
      <c r="CF20" s="19">
        <v>4</v>
      </c>
      <c r="CG20" s="19">
        <v>3</v>
      </c>
      <c r="CH20" s="19">
        <v>4</v>
      </c>
      <c r="CI20" s="19">
        <v>4</v>
      </c>
      <c r="CJ20" s="19">
        <v>4</v>
      </c>
      <c r="CK20" s="19">
        <v>3</v>
      </c>
      <c r="CL20" s="19">
        <v>4</v>
      </c>
      <c r="CM20" s="19">
        <v>4</v>
      </c>
      <c r="CN20" s="19">
        <v>4</v>
      </c>
      <c r="CO20" s="19">
        <v>1</v>
      </c>
      <c r="CP20" s="19">
        <v>0</v>
      </c>
      <c r="CQ20" s="60">
        <v>1</v>
      </c>
      <c r="CR20" s="19">
        <v>0</v>
      </c>
      <c r="CS20" s="19">
        <v>1</v>
      </c>
      <c r="CT20" s="60">
        <v>0</v>
      </c>
      <c r="CU20" s="60">
        <v>0</v>
      </c>
      <c r="CV20" s="60">
        <v>0</v>
      </c>
      <c r="CW20" s="60">
        <v>1</v>
      </c>
      <c r="CX20" s="60">
        <v>0</v>
      </c>
      <c r="CY20" s="60">
        <v>0</v>
      </c>
      <c r="CZ20" s="19">
        <v>5</v>
      </c>
      <c r="DA20" s="19">
        <v>4</v>
      </c>
    </row>
    <row r="21" spans="1:105" s="34" customFormat="1">
      <c r="A21" s="40">
        <v>20</v>
      </c>
      <c r="B21" s="18">
        <v>181</v>
      </c>
      <c r="C21" s="19">
        <v>1</v>
      </c>
      <c r="D21" s="19">
        <v>1</v>
      </c>
      <c r="E21" s="19">
        <v>4</v>
      </c>
      <c r="F21" s="19">
        <v>1</v>
      </c>
      <c r="G21" s="19">
        <v>0</v>
      </c>
      <c r="H21" s="19">
        <v>1</v>
      </c>
      <c r="I21" s="19">
        <v>0</v>
      </c>
      <c r="J21" s="19">
        <v>0</v>
      </c>
      <c r="K21" s="19">
        <v>1</v>
      </c>
      <c r="L21" s="19">
        <v>3</v>
      </c>
      <c r="M21" s="19">
        <v>2</v>
      </c>
      <c r="N21" s="19">
        <v>3</v>
      </c>
      <c r="O21" s="19">
        <v>3</v>
      </c>
      <c r="P21" s="19">
        <v>3</v>
      </c>
      <c r="Q21" s="19">
        <v>2</v>
      </c>
      <c r="R21" s="19">
        <v>4</v>
      </c>
      <c r="S21" s="19">
        <v>1</v>
      </c>
      <c r="T21" s="19">
        <v>2</v>
      </c>
      <c r="U21" s="19">
        <v>2</v>
      </c>
      <c r="V21" s="19">
        <v>3</v>
      </c>
      <c r="W21" s="19">
        <v>1</v>
      </c>
      <c r="X21" s="19">
        <v>1</v>
      </c>
      <c r="Y21" s="19">
        <v>1</v>
      </c>
      <c r="Z21" s="19">
        <v>4</v>
      </c>
      <c r="AA21" s="19">
        <v>1</v>
      </c>
      <c r="AB21" s="19">
        <v>2</v>
      </c>
      <c r="AC21" s="19">
        <v>1</v>
      </c>
      <c r="AD21" s="19">
        <v>2</v>
      </c>
      <c r="AE21" s="19">
        <v>1</v>
      </c>
      <c r="AF21" s="19">
        <v>2</v>
      </c>
      <c r="AG21" s="19">
        <v>2</v>
      </c>
      <c r="AH21" s="19">
        <v>1</v>
      </c>
      <c r="AI21" s="19">
        <v>3</v>
      </c>
      <c r="AJ21" s="19">
        <v>1</v>
      </c>
      <c r="AK21" s="19">
        <v>1</v>
      </c>
      <c r="AL21" s="19">
        <v>2</v>
      </c>
      <c r="AM21" s="19">
        <v>4</v>
      </c>
      <c r="AN21" s="19">
        <v>1</v>
      </c>
      <c r="AO21" s="19">
        <v>2</v>
      </c>
      <c r="AP21" s="19">
        <v>2</v>
      </c>
      <c r="AQ21" s="19">
        <v>5</v>
      </c>
      <c r="AR21" s="19">
        <v>1</v>
      </c>
      <c r="AS21" s="19">
        <v>1</v>
      </c>
      <c r="AT21" s="19">
        <v>2</v>
      </c>
      <c r="AU21" s="19">
        <v>4</v>
      </c>
      <c r="AV21" s="19">
        <v>1</v>
      </c>
      <c r="AW21" s="19">
        <v>1</v>
      </c>
      <c r="AX21" s="19">
        <v>2</v>
      </c>
      <c r="AY21" s="19">
        <v>5</v>
      </c>
      <c r="AZ21" s="19">
        <v>2</v>
      </c>
      <c r="BA21" s="19">
        <v>2</v>
      </c>
      <c r="BB21" s="19">
        <v>1</v>
      </c>
      <c r="BC21" s="19">
        <v>2</v>
      </c>
      <c r="BD21" s="19">
        <v>2</v>
      </c>
      <c r="BE21" s="19">
        <v>1</v>
      </c>
      <c r="BF21" s="19">
        <v>2</v>
      </c>
      <c r="BG21" s="19">
        <v>4</v>
      </c>
      <c r="BH21" s="19">
        <v>4</v>
      </c>
      <c r="BI21" s="19">
        <v>1</v>
      </c>
      <c r="BJ21" s="19">
        <v>1</v>
      </c>
      <c r="BK21" s="19">
        <v>1</v>
      </c>
      <c r="BL21" s="19">
        <v>3</v>
      </c>
      <c r="BM21" s="19">
        <v>1</v>
      </c>
      <c r="BN21" s="19">
        <v>2</v>
      </c>
      <c r="BO21" s="19">
        <v>3</v>
      </c>
      <c r="BP21" s="19">
        <v>4</v>
      </c>
      <c r="BQ21" s="19">
        <v>4</v>
      </c>
      <c r="BR21" s="19">
        <v>3</v>
      </c>
      <c r="BS21" s="19">
        <v>4</v>
      </c>
      <c r="BT21" s="19">
        <v>4</v>
      </c>
      <c r="BU21" s="19">
        <v>3</v>
      </c>
      <c r="BV21" s="19">
        <v>4</v>
      </c>
      <c r="BW21" s="19">
        <v>3</v>
      </c>
      <c r="BX21" s="19">
        <v>4</v>
      </c>
      <c r="BY21" s="19">
        <v>5</v>
      </c>
      <c r="BZ21" s="19">
        <v>4</v>
      </c>
      <c r="CA21" s="19">
        <v>4</v>
      </c>
      <c r="CB21" s="19">
        <v>4</v>
      </c>
      <c r="CC21" s="19">
        <v>2</v>
      </c>
      <c r="CD21" s="19">
        <v>4</v>
      </c>
      <c r="CE21" s="19">
        <v>4</v>
      </c>
      <c r="CF21" s="19">
        <v>4</v>
      </c>
      <c r="CG21" s="19">
        <v>2</v>
      </c>
      <c r="CH21" s="19">
        <v>4</v>
      </c>
      <c r="CI21" s="19">
        <v>2</v>
      </c>
      <c r="CJ21" s="19">
        <v>4</v>
      </c>
      <c r="CK21" s="19">
        <v>4</v>
      </c>
      <c r="CL21" s="19">
        <v>4</v>
      </c>
      <c r="CM21" s="19">
        <v>2</v>
      </c>
      <c r="CN21" s="19">
        <v>4</v>
      </c>
      <c r="CO21" s="19">
        <v>0</v>
      </c>
      <c r="CP21" s="19">
        <v>1</v>
      </c>
      <c r="CQ21" s="60">
        <v>1</v>
      </c>
      <c r="CR21" s="19">
        <v>0</v>
      </c>
      <c r="CS21" s="19">
        <v>1</v>
      </c>
      <c r="CT21" s="60">
        <v>1</v>
      </c>
      <c r="CU21" s="60">
        <v>0</v>
      </c>
      <c r="CV21" s="60">
        <v>0</v>
      </c>
      <c r="CW21" s="60">
        <v>0</v>
      </c>
      <c r="CX21" s="60">
        <v>0</v>
      </c>
      <c r="CY21" s="60">
        <v>0</v>
      </c>
      <c r="CZ21" s="19">
        <v>1</v>
      </c>
      <c r="DA21" s="19">
        <v>2</v>
      </c>
    </row>
    <row r="22" spans="1:105" s="34" customFormat="1">
      <c r="A22" s="40">
        <v>21</v>
      </c>
      <c r="B22" s="18">
        <v>164</v>
      </c>
      <c r="C22" s="19">
        <v>1</v>
      </c>
      <c r="D22" s="19">
        <v>1</v>
      </c>
      <c r="E22" s="19">
        <v>3</v>
      </c>
      <c r="F22" s="19">
        <v>1</v>
      </c>
      <c r="G22" s="19">
        <v>1</v>
      </c>
      <c r="H22" s="19">
        <v>1</v>
      </c>
      <c r="I22" s="19">
        <v>0</v>
      </c>
      <c r="J22" s="19">
        <v>0</v>
      </c>
      <c r="K22" s="19">
        <v>1</v>
      </c>
      <c r="L22" s="19">
        <v>2</v>
      </c>
      <c r="M22" s="19">
        <v>1</v>
      </c>
      <c r="N22" s="19">
        <v>1</v>
      </c>
      <c r="O22" s="19">
        <v>2</v>
      </c>
      <c r="P22" s="19">
        <v>3</v>
      </c>
      <c r="Q22" s="19">
        <v>4</v>
      </c>
      <c r="R22" s="19">
        <v>2</v>
      </c>
      <c r="S22" s="19">
        <v>2</v>
      </c>
      <c r="T22" s="19">
        <v>4</v>
      </c>
      <c r="U22" s="19">
        <v>4</v>
      </c>
      <c r="V22" s="19">
        <v>2</v>
      </c>
      <c r="W22" s="19">
        <v>1</v>
      </c>
      <c r="X22" s="19">
        <v>3</v>
      </c>
      <c r="Y22" s="19">
        <v>4</v>
      </c>
      <c r="Z22" s="19">
        <v>1</v>
      </c>
      <c r="AA22" s="19">
        <v>1</v>
      </c>
      <c r="AB22" s="19">
        <v>3</v>
      </c>
      <c r="AC22" s="19">
        <v>3</v>
      </c>
      <c r="AD22" s="19">
        <v>4</v>
      </c>
      <c r="AE22" s="19">
        <v>2</v>
      </c>
      <c r="AF22" s="19">
        <v>2</v>
      </c>
      <c r="AG22" s="19">
        <v>4</v>
      </c>
      <c r="AH22" s="19">
        <v>4</v>
      </c>
      <c r="AI22" s="19">
        <v>1</v>
      </c>
      <c r="AJ22" s="19">
        <v>1</v>
      </c>
      <c r="AK22" s="19">
        <v>3</v>
      </c>
      <c r="AL22" s="19">
        <v>4</v>
      </c>
      <c r="AM22" s="19">
        <v>1</v>
      </c>
      <c r="AN22" s="19">
        <v>1</v>
      </c>
      <c r="AO22" s="19">
        <v>3</v>
      </c>
      <c r="AP22" s="19">
        <v>3</v>
      </c>
      <c r="AQ22" s="19">
        <v>3</v>
      </c>
      <c r="AR22" s="19">
        <v>3</v>
      </c>
      <c r="AS22" s="19">
        <v>3</v>
      </c>
      <c r="AT22" s="19">
        <v>3</v>
      </c>
      <c r="AU22" s="19">
        <v>2</v>
      </c>
      <c r="AV22" s="19">
        <v>1</v>
      </c>
      <c r="AW22" s="19">
        <v>3</v>
      </c>
      <c r="AX22" s="19">
        <v>4</v>
      </c>
      <c r="AY22" s="19">
        <v>2</v>
      </c>
      <c r="AZ22" s="19">
        <v>2</v>
      </c>
      <c r="BA22" s="19">
        <v>3</v>
      </c>
      <c r="BB22" s="19">
        <v>3</v>
      </c>
      <c r="BC22" s="19">
        <v>3</v>
      </c>
      <c r="BD22" s="19">
        <v>2</v>
      </c>
      <c r="BE22" s="19">
        <v>2</v>
      </c>
      <c r="BF22" s="19">
        <v>3</v>
      </c>
      <c r="BG22" s="19">
        <v>3</v>
      </c>
      <c r="BH22" s="19">
        <v>1</v>
      </c>
      <c r="BI22" s="19">
        <v>1</v>
      </c>
      <c r="BJ22" s="19">
        <v>3</v>
      </c>
      <c r="BK22" s="19">
        <v>3</v>
      </c>
      <c r="BL22" s="19">
        <v>2</v>
      </c>
      <c r="BM22" s="19">
        <v>2</v>
      </c>
      <c r="BN22" s="19">
        <v>3</v>
      </c>
      <c r="BO22" s="19">
        <v>3</v>
      </c>
      <c r="BP22" s="19">
        <v>4</v>
      </c>
      <c r="BQ22" s="19">
        <v>3</v>
      </c>
      <c r="BR22" s="19">
        <v>3</v>
      </c>
      <c r="BS22" s="19">
        <v>4</v>
      </c>
      <c r="BT22" s="19">
        <v>5</v>
      </c>
      <c r="BU22" s="19">
        <v>5</v>
      </c>
      <c r="BV22" s="19">
        <v>3</v>
      </c>
      <c r="BW22" s="19">
        <v>2</v>
      </c>
      <c r="BX22" s="19">
        <v>3</v>
      </c>
      <c r="BY22" s="19">
        <v>4</v>
      </c>
      <c r="BZ22" s="19">
        <v>5</v>
      </c>
      <c r="CA22" s="19">
        <v>5</v>
      </c>
      <c r="CB22" s="19">
        <v>2</v>
      </c>
      <c r="CC22" s="19">
        <v>4</v>
      </c>
      <c r="CD22" s="19">
        <v>4</v>
      </c>
      <c r="CE22" s="19">
        <v>4</v>
      </c>
      <c r="CF22" s="19">
        <v>4</v>
      </c>
      <c r="CG22" s="19">
        <v>4</v>
      </c>
      <c r="CH22" s="19">
        <v>4</v>
      </c>
      <c r="CI22" s="19">
        <v>4</v>
      </c>
      <c r="CJ22" s="19">
        <v>4</v>
      </c>
      <c r="CK22" s="19">
        <v>4</v>
      </c>
      <c r="CL22" s="19">
        <v>4</v>
      </c>
      <c r="CM22" s="19">
        <v>4</v>
      </c>
      <c r="CN22" s="19">
        <v>4</v>
      </c>
      <c r="CO22" s="19">
        <v>1</v>
      </c>
      <c r="CP22" s="19">
        <v>0</v>
      </c>
      <c r="CQ22" s="60">
        <v>1</v>
      </c>
      <c r="CR22" s="19">
        <v>0</v>
      </c>
      <c r="CS22" s="19">
        <v>0</v>
      </c>
      <c r="CT22" s="60">
        <v>1</v>
      </c>
      <c r="CU22" s="60">
        <v>0</v>
      </c>
      <c r="CV22" s="60">
        <v>0</v>
      </c>
      <c r="CW22" s="60">
        <v>0</v>
      </c>
      <c r="CX22" s="60">
        <v>1</v>
      </c>
      <c r="CY22" s="60">
        <v>0</v>
      </c>
      <c r="CZ22" s="19">
        <v>5</v>
      </c>
      <c r="DA22" s="19">
        <v>3</v>
      </c>
    </row>
    <row r="23" spans="1:105" s="34" customFormat="1">
      <c r="A23" s="40">
        <v>22</v>
      </c>
      <c r="B23" s="18">
        <v>159</v>
      </c>
      <c r="C23" s="19">
        <v>1</v>
      </c>
      <c r="D23" s="19">
        <v>1</v>
      </c>
      <c r="E23" s="19">
        <v>3</v>
      </c>
      <c r="F23" s="19">
        <v>1</v>
      </c>
      <c r="G23" s="19">
        <v>0</v>
      </c>
      <c r="H23" s="19">
        <v>0</v>
      </c>
      <c r="I23" s="19">
        <v>0</v>
      </c>
      <c r="J23" s="19">
        <v>0</v>
      </c>
      <c r="K23" s="19">
        <v>1</v>
      </c>
      <c r="L23" s="19">
        <v>3</v>
      </c>
      <c r="M23" s="19">
        <v>1</v>
      </c>
      <c r="N23" s="19">
        <v>3</v>
      </c>
      <c r="O23" s="19">
        <v>2</v>
      </c>
      <c r="P23" s="19">
        <v>2</v>
      </c>
      <c r="Q23" s="19">
        <v>3</v>
      </c>
      <c r="R23" s="19">
        <v>2</v>
      </c>
      <c r="S23" s="19">
        <v>1</v>
      </c>
      <c r="T23" s="19">
        <v>3</v>
      </c>
      <c r="U23" s="19">
        <v>3</v>
      </c>
      <c r="V23" s="19">
        <v>1</v>
      </c>
      <c r="W23" s="19">
        <v>1</v>
      </c>
      <c r="X23" s="19">
        <v>2</v>
      </c>
      <c r="Y23" s="19">
        <v>2</v>
      </c>
      <c r="Z23" s="19">
        <v>1</v>
      </c>
      <c r="AA23" s="19">
        <v>1</v>
      </c>
      <c r="AB23" s="19">
        <v>3</v>
      </c>
      <c r="AC23" s="19">
        <v>3</v>
      </c>
      <c r="AD23" s="19">
        <v>2</v>
      </c>
      <c r="AE23" s="19">
        <v>2</v>
      </c>
      <c r="AF23" s="19">
        <v>1</v>
      </c>
      <c r="AG23" s="19">
        <v>2</v>
      </c>
      <c r="AH23" s="19">
        <v>2</v>
      </c>
      <c r="AI23" s="19">
        <v>2</v>
      </c>
      <c r="AJ23" s="19">
        <v>1</v>
      </c>
      <c r="AK23" s="19">
        <v>2</v>
      </c>
      <c r="AL23" s="19">
        <v>2</v>
      </c>
      <c r="AM23" s="19">
        <v>1</v>
      </c>
      <c r="AN23" s="19">
        <v>1</v>
      </c>
      <c r="AO23" s="19">
        <v>3</v>
      </c>
      <c r="AP23" s="19">
        <v>3</v>
      </c>
      <c r="AQ23" s="19">
        <v>1</v>
      </c>
      <c r="AR23" s="19">
        <v>1</v>
      </c>
      <c r="AS23" s="19">
        <v>3</v>
      </c>
      <c r="AT23" s="19">
        <v>2</v>
      </c>
      <c r="AU23" s="19">
        <v>1</v>
      </c>
      <c r="AV23" s="19">
        <v>1</v>
      </c>
      <c r="AW23" s="19">
        <v>2</v>
      </c>
      <c r="AX23" s="19">
        <v>2</v>
      </c>
      <c r="AY23" s="19">
        <v>1</v>
      </c>
      <c r="AZ23" s="19">
        <v>1</v>
      </c>
      <c r="BA23" s="19">
        <v>3</v>
      </c>
      <c r="BB23" s="19">
        <v>3</v>
      </c>
      <c r="BC23" s="19">
        <v>4</v>
      </c>
      <c r="BD23" s="19">
        <v>2</v>
      </c>
      <c r="BE23" s="19">
        <v>1</v>
      </c>
      <c r="BF23" s="19">
        <v>3</v>
      </c>
      <c r="BG23" s="19">
        <v>3</v>
      </c>
      <c r="BH23" s="19">
        <v>1</v>
      </c>
      <c r="BI23" s="19">
        <v>1</v>
      </c>
      <c r="BJ23" s="19">
        <v>2</v>
      </c>
      <c r="BK23" s="19">
        <v>2</v>
      </c>
      <c r="BL23" s="19">
        <v>1</v>
      </c>
      <c r="BM23" s="19">
        <v>1</v>
      </c>
      <c r="BN23" s="19">
        <v>3</v>
      </c>
      <c r="BO23" s="19">
        <v>3</v>
      </c>
      <c r="BP23" s="19">
        <v>5</v>
      </c>
      <c r="BQ23" s="19">
        <v>5</v>
      </c>
      <c r="BR23" s="19">
        <v>5</v>
      </c>
      <c r="BS23" s="19">
        <v>5</v>
      </c>
      <c r="BT23" s="19">
        <v>5</v>
      </c>
      <c r="BU23" s="19">
        <v>5</v>
      </c>
      <c r="BV23" s="19">
        <v>4</v>
      </c>
      <c r="BW23" s="19">
        <v>5</v>
      </c>
      <c r="BX23" s="19">
        <v>5</v>
      </c>
      <c r="BY23" s="19">
        <v>5</v>
      </c>
      <c r="BZ23" s="19">
        <v>5</v>
      </c>
      <c r="CA23" s="19">
        <v>5</v>
      </c>
      <c r="CB23" s="19">
        <v>4</v>
      </c>
      <c r="CC23" s="19">
        <v>3</v>
      </c>
      <c r="CD23" s="19">
        <v>5</v>
      </c>
      <c r="CE23" s="19">
        <v>4</v>
      </c>
      <c r="CF23" s="19">
        <v>5</v>
      </c>
      <c r="CG23" s="19">
        <v>5</v>
      </c>
      <c r="CH23" s="19">
        <v>5</v>
      </c>
      <c r="CI23" s="19">
        <v>5</v>
      </c>
      <c r="CJ23" s="19">
        <v>4</v>
      </c>
      <c r="CK23" s="19">
        <v>5</v>
      </c>
      <c r="CL23" s="19">
        <v>5</v>
      </c>
      <c r="CM23" s="19">
        <v>5</v>
      </c>
      <c r="CN23" s="19">
        <v>5</v>
      </c>
      <c r="CO23" s="19">
        <v>1</v>
      </c>
      <c r="CP23" s="19">
        <v>1</v>
      </c>
      <c r="CQ23" s="60">
        <v>1</v>
      </c>
      <c r="CR23" s="19">
        <v>1</v>
      </c>
      <c r="CS23" s="19">
        <v>0</v>
      </c>
      <c r="CT23" s="60">
        <v>1</v>
      </c>
      <c r="CU23" s="60">
        <v>1</v>
      </c>
      <c r="CV23" s="60">
        <v>1</v>
      </c>
      <c r="CW23" s="60">
        <v>0</v>
      </c>
      <c r="CX23" s="60">
        <v>1</v>
      </c>
      <c r="CY23" s="60">
        <v>1</v>
      </c>
      <c r="CZ23" s="19">
        <v>4</v>
      </c>
      <c r="DA23" s="19">
        <v>3</v>
      </c>
    </row>
    <row r="24" spans="1:105" s="34" customFormat="1">
      <c r="A24" s="40">
        <v>23</v>
      </c>
      <c r="B24" s="18">
        <v>150</v>
      </c>
      <c r="C24" s="19">
        <v>1</v>
      </c>
      <c r="D24" s="19">
        <v>2</v>
      </c>
      <c r="E24" s="19">
        <v>3</v>
      </c>
      <c r="F24" s="19">
        <v>1</v>
      </c>
      <c r="G24" s="19">
        <v>0</v>
      </c>
      <c r="H24" s="19">
        <v>1</v>
      </c>
      <c r="I24" s="19">
        <v>0</v>
      </c>
      <c r="J24" s="19">
        <v>0</v>
      </c>
      <c r="K24" s="19">
        <v>2</v>
      </c>
      <c r="L24" s="19">
        <v>2</v>
      </c>
      <c r="M24" s="19">
        <v>2</v>
      </c>
      <c r="N24" s="19">
        <v>2</v>
      </c>
      <c r="O24" s="19">
        <v>2</v>
      </c>
      <c r="P24" s="19">
        <v>2</v>
      </c>
      <c r="Q24" s="19">
        <v>2</v>
      </c>
      <c r="R24" s="19">
        <v>2</v>
      </c>
      <c r="S24" s="19">
        <v>2</v>
      </c>
      <c r="T24" s="19">
        <v>3</v>
      </c>
      <c r="U24" s="19">
        <v>2</v>
      </c>
      <c r="V24" s="19">
        <v>2</v>
      </c>
      <c r="W24" s="19">
        <v>2</v>
      </c>
      <c r="X24" s="19">
        <v>2</v>
      </c>
      <c r="Y24" s="19">
        <v>2</v>
      </c>
      <c r="Z24" s="19">
        <v>2</v>
      </c>
      <c r="AA24" s="19">
        <v>2</v>
      </c>
      <c r="AB24" s="19">
        <v>2</v>
      </c>
      <c r="AC24" s="19">
        <v>3</v>
      </c>
      <c r="AD24" s="19">
        <v>1</v>
      </c>
      <c r="AE24" s="19">
        <v>3</v>
      </c>
      <c r="AF24" s="19">
        <v>2</v>
      </c>
      <c r="AG24" s="19">
        <v>2</v>
      </c>
      <c r="AH24" s="19">
        <v>2</v>
      </c>
      <c r="AI24" s="19">
        <v>3</v>
      </c>
      <c r="AJ24" s="19">
        <v>3</v>
      </c>
      <c r="AK24" s="19">
        <v>2</v>
      </c>
      <c r="AL24" s="19">
        <v>2</v>
      </c>
      <c r="AM24" s="19">
        <v>3</v>
      </c>
      <c r="AN24" s="19">
        <v>1</v>
      </c>
      <c r="AO24" s="19">
        <v>3</v>
      </c>
      <c r="AP24" s="19">
        <v>4</v>
      </c>
      <c r="AQ24" s="19">
        <v>2</v>
      </c>
      <c r="AR24" s="19">
        <v>1</v>
      </c>
      <c r="AS24" s="19">
        <v>2</v>
      </c>
      <c r="AT24" s="19">
        <v>3</v>
      </c>
      <c r="AU24" s="19">
        <v>2</v>
      </c>
      <c r="AV24" s="19">
        <v>3</v>
      </c>
      <c r="AW24" s="19">
        <v>2</v>
      </c>
      <c r="AX24" s="19">
        <v>2</v>
      </c>
      <c r="AY24" s="19">
        <v>3</v>
      </c>
      <c r="AZ24" s="19">
        <v>1</v>
      </c>
      <c r="BA24" s="19">
        <v>4</v>
      </c>
      <c r="BB24" s="19">
        <v>3</v>
      </c>
      <c r="BC24" s="19">
        <v>4</v>
      </c>
      <c r="BD24" s="19">
        <v>2</v>
      </c>
      <c r="BE24" s="19">
        <v>1</v>
      </c>
      <c r="BF24" s="19">
        <v>3</v>
      </c>
      <c r="BG24" s="19">
        <v>4</v>
      </c>
      <c r="BH24" s="19">
        <v>3</v>
      </c>
      <c r="BI24" s="19">
        <v>1</v>
      </c>
      <c r="BJ24" s="19">
        <v>2</v>
      </c>
      <c r="BK24" s="19">
        <v>3</v>
      </c>
      <c r="BL24" s="19">
        <v>2</v>
      </c>
      <c r="BM24" s="19">
        <v>1</v>
      </c>
      <c r="BN24" s="19">
        <v>3</v>
      </c>
      <c r="BO24" s="19">
        <v>3</v>
      </c>
      <c r="BP24" s="19">
        <v>5</v>
      </c>
      <c r="BQ24" s="19">
        <v>3</v>
      </c>
      <c r="BR24" s="19">
        <v>3</v>
      </c>
      <c r="BS24" s="19">
        <v>4</v>
      </c>
      <c r="BT24" s="19">
        <v>4</v>
      </c>
      <c r="BU24" s="19">
        <v>4</v>
      </c>
      <c r="BV24" s="19">
        <v>2</v>
      </c>
      <c r="BW24" s="19">
        <v>4</v>
      </c>
      <c r="BX24" s="19">
        <v>5</v>
      </c>
      <c r="BY24" s="19">
        <v>5</v>
      </c>
      <c r="BZ24" s="19">
        <v>5</v>
      </c>
      <c r="CA24" s="19">
        <v>5</v>
      </c>
      <c r="CB24" s="19">
        <v>4</v>
      </c>
      <c r="CC24" s="19">
        <v>4</v>
      </c>
      <c r="CD24" s="19">
        <v>3</v>
      </c>
      <c r="CE24" s="19">
        <v>0</v>
      </c>
      <c r="CF24" s="19">
        <v>4</v>
      </c>
      <c r="CG24" s="19">
        <v>3</v>
      </c>
      <c r="CH24" s="19">
        <v>5</v>
      </c>
      <c r="CI24" s="19">
        <v>5</v>
      </c>
      <c r="CJ24" s="19">
        <v>4</v>
      </c>
      <c r="CK24" s="19">
        <v>5</v>
      </c>
      <c r="CL24" s="19">
        <v>5</v>
      </c>
      <c r="CM24" s="19">
        <v>4</v>
      </c>
      <c r="CN24" s="19">
        <v>4</v>
      </c>
      <c r="CO24" s="19">
        <v>1</v>
      </c>
      <c r="CP24" s="19">
        <v>1</v>
      </c>
      <c r="CQ24" s="60">
        <v>1</v>
      </c>
      <c r="CR24" s="19">
        <v>1</v>
      </c>
      <c r="CS24" s="19">
        <v>0</v>
      </c>
      <c r="CT24" s="60">
        <v>1</v>
      </c>
      <c r="CU24" s="60">
        <v>0</v>
      </c>
      <c r="CV24" s="60">
        <v>1</v>
      </c>
      <c r="CW24" s="60">
        <v>1</v>
      </c>
      <c r="CX24" s="60">
        <v>1</v>
      </c>
      <c r="CY24" s="60">
        <v>0</v>
      </c>
      <c r="CZ24" s="19">
        <v>3</v>
      </c>
      <c r="DA24" s="19">
        <v>6</v>
      </c>
    </row>
    <row r="25" spans="1:105" s="34" customFormat="1">
      <c r="A25" s="40">
        <v>24</v>
      </c>
      <c r="B25" s="18">
        <v>160</v>
      </c>
      <c r="C25" s="19">
        <v>2</v>
      </c>
      <c r="D25" s="19">
        <v>5</v>
      </c>
      <c r="E25" s="19">
        <v>2</v>
      </c>
      <c r="F25" s="19">
        <v>0</v>
      </c>
      <c r="G25" s="19">
        <v>1</v>
      </c>
      <c r="H25" s="19">
        <v>1</v>
      </c>
      <c r="I25" s="19">
        <v>0</v>
      </c>
      <c r="J25" s="19">
        <v>0</v>
      </c>
      <c r="K25" s="19">
        <v>1</v>
      </c>
      <c r="L25" s="19">
        <v>3</v>
      </c>
      <c r="M25" s="19">
        <v>2</v>
      </c>
      <c r="N25" s="19">
        <v>4</v>
      </c>
      <c r="O25" s="19">
        <v>2</v>
      </c>
      <c r="P25" s="19">
        <v>1</v>
      </c>
      <c r="Q25" s="19">
        <v>4</v>
      </c>
      <c r="R25" s="19">
        <v>1</v>
      </c>
      <c r="S25" s="19">
        <v>1</v>
      </c>
      <c r="T25" s="19">
        <v>5</v>
      </c>
      <c r="U25" s="19">
        <v>4</v>
      </c>
      <c r="V25" s="19">
        <v>1</v>
      </c>
      <c r="W25" s="19">
        <v>1</v>
      </c>
      <c r="X25" s="19">
        <v>5</v>
      </c>
      <c r="Y25" s="19">
        <v>5</v>
      </c>
      <c r="Z25" s="19">
        <v>5</v>
      </c>
      <c r="AA25" s="19">
        <v>1</v>
      </c>
      <c r="AB25" s="19">
        <v>4</v>
      </c>
      <c r="AC25" s="19">
        <v>4</v>
      </c>
      <c r="AD25" s="19">
        <v>4</v>
      </c>
      <c r="AE25" s="19">
        <v>4</v>
      </c>
      <c r="AF25" s="19">
        <v>1</v>
      </c>
      <c r="AG25" s="19">
        <v>2</v>
      </c>
      <c r="AH25" s="19">
        <v>2</v>
      </c>
      <c r="AI25" s="19">
        <v>4</v>
      </c>
      <c r="AJ25" s="19">
        <v>2</v>
      </c>
      <c r="AK25" s="19">
        <v>3</v>
      </c>
      <c r="AL25" s="19">
        <v>3</v>
      </c>
      <c r="AM25" s="19">
        <v>3</v>
      </c>
      <c r="AN25" s="19">
        <v>1</v>
      </c>
      <c r="AO25" s="19">
        <v>3</v>
      </c>
      <c r="AP25" s="19">
        <v>5</v>
      </c>
      <c r="AQ25" s="19">
        <v>5</v>
      </c>
      <c r="AR25" s="19">
        <v>1</v>
      </c>
      <c r="AS25" s="19">
        <v>1</v>
      </c>
      <c r="AT25" s="19">
        <v>5</v>
      </c>
      <c r="AU25" s="19">
        <v>5</v>
      </c>
      <c r="AV25" s="19">
        <v>1</v>
      </c>
      <c r="AW25" s="19">
        <v>1</v>
      </c>
      <c r="AX25" s="19">
        <v>5</v>
      </c>
      <c r="AY25" s="19">
        <v>5</v>
      </c>
      <c r="AZ25" s="19">
        <v>1</v>
      </c>
      <c r="BA25" s="19">
        <v>5</v>
      </c>
      <c r="BB25" s="19">
        <v>4</v>
      </c>
      <c r="BC25" s="19">
        <v>5</v>
      </c>
      <c r="BD25" s="19">
        <v>5</v>
      </c>
      <c r="BE25" s="19">
        <v>1</v>
      </c>
      <c r="BF25" s="19">
        <v>4</v>
      </c>
      <c r="BG25" s="19">
        <v>5</v>
      </c>
      <c r="BH25" s="19">
        <v>4</v>
      </c>
      <c r="BI25" s="19">
        <v>1</v>
      </c>
      <c r="BJ25" s="19">
        <v>3</v>
      </c>
      <c r="BK25" s="19">
        <v>4</v>
      </c>
      <c r="BL25" s="19">
        <v>3</v>
      </c>
      <c r="BM25" s="19">
        <v>1</v>
      </c>
      <c r="BN25" s="19">
        <v>5</v>
      </c>
      <c r="BO25" s="19">
        <v>3</v>
      </c>
      <c r="BP25" s="19">
        <v>5</v>
      </c>
      <c r="BQ25" s="19">
        <v>5</v>
      </c>
      <c r="BR25" s="19">
        <v>5</v>
      </c>
      <c r="BS25" s="19">
        <v>5</v>
      </c>
      <c r="BT25" s="19">
        <v>5</v>
      </c>
      <c r="BU25" s="19">
        <v>5</v>
      </c>
      <c r="BV25" s="19">
        <v>5</v>
      </c>
      <c r="BW25" s="19">
        <v>5</v>
      </c>
      <c r="BX25" s="19">
        <v>5</v>
      </c>
      <c r="BY25" s="19">
        <v>5</v>
      </c>
      <c r="BZ25" s="19">
        <v>5</v>
      </c>
      <c r="CA25" s="19">
        <v>5</v>
      </c>
      <c r="CB25" s="19">
        <v>5</v>
      </c>
      <c r="CC25" s="19">
        <v>5</v>
      </c>
      <c r="CD25" s="19">
        <v>5</v>
      </c>
      <c r="CE25" s="19">
        <v>5</v>
      </c>
      <c r="CF25" s="19">
        <v>5</v>
      </c>
      <c r="CG25" s="19">
        <v>5</v>
      </c>
      <c r="CH25" s="19">
        <v>5</v>
      </c>
      <c r="CI25" s="19">
        <v>5</v>
      </c>
      <c r="CJ25" s="19">
        <v>5</v>
      </c>
      <c r="CK25" s="19">
        <v>5</v>
      </c>
      <c r="CL25" s="19">
        <v>5</v>
      </c>
      <c r="CM25" s="19">
        <v>5</v>
      </c>
      <c r="CN25" s="19">
        <v>5</v>
      </c>
      <c r="CO25" s="19">
        <v>1</v>
      </c>
      <c r="CP25" s="19">
        <v>1</v>
      </c>
      <c r="CQ25" s="60">
        <v>1</v>
      </c>
      <c r="CR25" s="19">
        <v>0</v>
      </c>
      <c r="CS25" s="19">
        <v>0</v>
      </c>
      <c r="CT25" s="60">
        <v>1</v>
      </c>
      <c r="CU25" s="60">
        <v>0</v>
      </c>
      <c r="CV25" s="60">
        <v>1</v>
      </c>
      <c r="CW25" s="60">
        <v>0</v>
      </c>
      <c r="CX25" s="60">
        <v>1</v>
      </c>
      <c r="CY25" s="60">
        <v>1</v>
      </c>
      <c r="CZ25" s="19">
        <v>4</v>
      </c>
      <c r="DA25" s="19">
        <v>5</v>
      </c>
    </row>
    <row r="26" spans="1:105" s="34" customFormat="1">
      <c r="A26" s="40">
        <v>25</v>
      </c>
      <c r="B26" s="18">
        <v>171</v>
      </c>
      <c r="C26" s="19">
        <v>1</v>
      </c>
      <c r="D26" s="19">
        <v>3</v>
      </c>
      <c r="E26" s="19">
        <v>5</v>
      </c>
      <c r="F26" s="19">
        <v>1</v>
      </c>
      <c r="G26" s="19">
        <v>1</v>
      </c>
      <c r="H26" s="19">
        <v>1</v>
      </c>
      <c r="I26" s="19">
        <v>0</v>
      </c>
      <c r="J26" s="19">
        <v>0</v>
      </c>
      <c r="K26" s="19">
        <v>1</v>
      </c>
      <c r="L26" s="19">
        <v>4</v>
      </c>
      <c r="M26" s="19">
        <v>1</v>
      </c>
      <c r="N26" s="19">
        <v>3</v>
      </c>
      <c r="O26" s="19">
        <v>1</v>
      </c>
      <c r="P26" s="19">
        <v>2</v>
      </c>
      <c r="Q26" s="19">
        <v>3</v>
      </c>
      <c r="R26" s="19">
        <v>4</v>
      </c>
      <c r="S26" s="19">
        <v>1</v>
      </c>
      <c r="T26" s="19">
        <v>2</v>
      </c>
      <c r="U26" s="19">
        <v>3</v>
      </c>
      <c r="V26" s="19">
        <v>4</v>
      </c>
      <c r="W26" s="19">
        <v>1</v>
      </c>
      <c r="X26" s="19">
        <v>2</v>
      </c>
      <c r="Y26" s="19">
        <v>2</v>
      </c>
      <c r="Z26" s="19">
        <v>3</v>
      </c>
      <c r="AA26" s="19">
        <v>1</v>
      </c>
      <c r="AB26" s="19">
        <v>3</v>
      </c>
      <c r="AC26" s="19">
        <v>3</v>
      </c>
      <c r="AD26" s="19">
        <v>4</v>
      </c>
      <c r="AE26" s="19">
        <v>4</v>
      </c>
      <c r="AF26" s="19">
        <v>1</v>
      </c>
      <c r="AG26" s="19">
        <v>2</v>
      </c>
      <c r="AH26" s="19">
        <v>3</v>
      </c>
      <c r="AI26" s="19">
        <v>4</v>
      </c>
      <c r="AJ26" s="19">
        <v>1</v>
      </c>
      <c r="AK26" s="19">
        <v>2</v>
      </c>
      <c r="AL26" s="19">
        <v>2</v>
      </c>
      <c r="AM26" s="19">
        <v>3</v>
      </c>
      <c r="AN26" s="19">
        <v>1</v>
      </c>
      <c r="AO26" s="19">
        <v>3</v>
      </c>
      <c r="AP26" s="19">
        <v>3</v>
      </c>
      <c r="AQ26" s="19">
        <v>5</v>
      </c>
      <c r="AR26" s="19">
        <v>1</v>
      </c>
      <c r="AS26" s="19">
        <v>2</v>
      </c>
      <c r="AT26" s="19">
        <v>3</v>
      </c>
      <c r="AU26" s="19">
        <v>4</v>
      </c>
      <c r="AV26" s="19">
        <v>1</v>
      </c>
      <c r="AW26" s="19">
        <v>2</v>
      </c>
      <c r="AX26" s="19">
        <v>2</v>
      </c>
      <c r="AY26" s="19">
        <v>4</v>
      </c>
      <c r="AZ26" s="19">
        <v>1</v>
      </c>
      <c r="BA26" s="19">
        <v>3</v>
      </c>
      <c r="BB26" s="19">
        <v>3</v>
      </c>
      <c r="BC26" s="19">
        <v>3</v>
      </c>
      <c r="BD26" s="19">
        <v>2</v>
      </c>
      <c r="BE26" s="19">
        <v>1</v>
      </c>
      <c r="BF26" s="19">
        <v>3</v>
      </c>
      <c r="BG26" s="19">
        <v>3</v>
      </c>
      <c r="BH26" s="19">
        <v>2</v>
      </c>
      <c r="BI26" s="19">
        <v>1</v>
      </c>
      <c r="BJ26" s="19">
        <v>2</v>
      </c>
      <c r="BK26" s="19">
        <v>2</v>
      </c>
      <c r="BL26" s="19">
        <v>2</v>
      </c>
      <c r="BM26" s="19">
        <v>1</v>
      </c>
      <c r="BN26" s="19">
        <v>3</v>
      </c>
      <c r="BO26" s="19">
        <v>3</v>
      </c>
      <c r="BP26" s="19">
        <v>5</v>
      </c>
      <c r="BQ26" s="19">
        <v>5</v>
      </c>
      <c r="BR26" s="19">
        <v>5</v>
      </c>
      <c r="BS26" s="19">
        <v>5</v>
      </c>
      <c r="BT26" s="19">
        <v>5</v>
      </c>
      <c r="BU26" s="19">
        <v>5</v>
      </c>
      <c r="BV26" s="19">
        <v>4</v>
      </c>
      <c r="BW26" s="19">
        <v>5</v>
      </c>
      <c r="BX26" s="19">
        <v>4</v>
      </c>
      <c r="BY26" s="19">
        <v>4</v>
      </c>
      <c r="BZ26" s="19">
        <v>5</v>
      </c>
      <c r="CA26" s="19">
        <v>5</v>
      </c>
      <c r="CB26" s="19">
        <v>5</v>
      </c>
      <c r="CC26" s="19">
        <v>4</v>
      </c>
      <c r="CD26" s="19">
        <v>4</v>
      </c>
      <c r="CE26" s="19">
        <v>5</v>
      </c>
      <c r="CF26" s="19">
        <v>5</v>
      </c>
      <c r="CG26" s="19">
        <v>4</v>
      </c>
      <c r="CH26" s="19">
        <v>5</v>
      </c>
      <c r="CI26" s="19">
        <v>5</v>
      </c>
      <c r="CJ26" s="19">
        <v>4</v>
      </c>
      <c r="CK26" s="19">
        <v>4</v>
      </c>
      <c r="CL26" s="19">
        <v>5</v>
      </c>
      <c r="CM26" s="19">
        <v>5</v>
      </c>
      <c r="CN26" s="19">
        <v>5</v>
      </c>
      <c r="CO26" s="19">
        <v>1</v>
      </c>
      <c r="CP26" s="19">
        <v>0</v>
      </c>
      <c r="CQ26" s="60">
        <v>1</v>
      </c>
      <c r="CR26" s="19">
        <v>1</v>
      </c>
      <c r="CS26" s="19">
        <v>0</v>
      </c>
      <c r="CT26" s="60">
        <v>1</v>
      </c>
      <c r="CU26" s="60">
        <v>0</v>
      </c>
      <c r="CV26" s="60">
        <v>1</v>
      </c>
      <c r="CW26" s="60">
        <v>0</v>
      </c>
      <c r="CX26" s="60">
        <v>1</v>
      </c>
      <c r="CY26" s="60">
        <v>0</v>
      </c>
      <c r="CZ26" s="19">
        <v>3</v>
      </c>
      <c r="DA26" s="19">
        <v>3</v>
      </c>
    </row>
    <row r="27" spans="1:105" s="34" customFormat="1">
      <c r="A27" s="40">
        <v>26</v>
      </c>
      <c r="B27" s="18">
        <v>156</v>
      </c>
      <c r="C27" s="19">
        <v>1</v>
      </c>
      <c r="D27" s="19">
        <v>1</v>
      </c>
      <c r="E27" s="19">
        <v>2</v>
      </c>
      <c r="F27" s="19">
        <v>1</v>
      </c>
      <c r="G27" s="19">
        <v>0</v>
      </c>
      <c r="H27" s="19">
        <v>0</v>
      </c>
      <c r="I27" s="19">
        <v>0</v>
      </c>
      <c r="J27" s="19">
        <v>0</v>
      </c>
      <c r="K27" s="19">
        <v>2</v>
      </c>
      <c r="L27" s="19">
        <v>2</v>
      </c>
      <c r="M27" s="19">
        <v>1</v>
      </c>
      <c r="N27" s="19">
        <v>3</v>
      </c>
      <c r="O27" s="19">
        <v>2</v>
      </c>
      <c r="P27" s="19">
        <v>2</v>
      </c>
      <c r="Q27" s="19">
        <v>4</v>
      </c>
      <c r="R27" s="19">
        <v>3</v>
      </c>
      <c r="S27" s="19">
        <v>2</v>
      </c>
      <c r="T27" s="19">
        <v>2</v>
      </c>
      <c r="U27" s="19">
        <v>3</v>
      </c>
      <c r="V27" s="19">
        <v>3</v>
      </c>
      <c r="W27" s="19">
        <v>2</v>
      </c>
      <c r="X27" s="19">
        <v>2</v>
      </c>
      <c r="Y27" s="19">
        <v>2</v>
      </c>
      <c r="Z27" s="19">
        <v>2</v>
      </c>
      <c r="AA27" s="19">
        <v>1</v>
      </c>
      <c r="AB27" s="19">
        <v>2</v>
      </c>
      <c r="AC27" s="19">
        <v>3</v>
      </c>
      <c r="AD27" s="19">
        <v>3</v>
      </c>
      <c r="AE27" s="19">
        <v>2</v>
      </c>
      <c r="AF27" s="19">
        <v>2</v>
      </c>
      <c r="AG27" s="19">
        <v>2</v>
      </c>
      <c r="AH27" s="19">
        <v>3</v>
      </c>
      <c r="AI27" s="19">
        <v>2</v>
      </c>
      <c r="AJ27" s="19">
        <v>1</v>
      </c>
      <c r="AK27" s="19">
        <v>2</v>
      </c>
      <c r="AL27" s="19">
        <v>2</v>
      </c>
      <c r="AM27" s="19">
        <v>2</v>
      </c>
      <c r="AN27" s="19">
        <v>1</v>
      </c>
      <c r="AO27" s="19">
        <v>2</v>
      </c>
      <c r="AP27" s="19">
        <v>4</v>
      </c>
      <c r="AQ27" s="19">
        <v>3</v>
      </c>
      <c r="AR27" s="19">
        <v>2</v>
      </c>
      <c r="AS27" s="19">
        <v>2</v>
      </c>
      <c r="AT27" s="19">
        <v>3</v>
      </c>
      <c r="AU27" s="19">
        <v>2</v>
      </c>
      <c r="AV27" s="19">
        <v>1</v>
      </c>
      <c r="AW27" s="19">
        <v>2</v>
      </c>
      <c r="AX27" s="19">
        <v>2</v>
      </c>
      <c r="AY27" s="19">
        <v>2</v>
      </c>
      <c r="AZ27" s="19">
        <v>1</v>
      </c>
      <c r="BA27" s="19">
        <v>3</v>
      </c>
      <c r="BB27" s="19">
        <v>3</v>
      </c>
      <c r="BC27" s="19">
        <v>4</v>
      </c>
      <c r="BD27" s="19">
        <v>2</v>
      </c>
      <c r="BE27" s="19">
        <v>1</v>
      </c>
      <c r="BF27" s="19">
        <v>3</v>
      </c>
      <c r="BG27" s="19">
        <v>4</v>
      </c>
      <c r="BH27" s="19">
        <v>2</v>
      </c>
      <c r="BI27" s="19">
        <v>1</v>
      </c>
      <c r="BJ27" s="19">
        <v>2</v>
      </c>
      <c r="BK27" s="19">
        <v>3</v>
      </c>
      <c r="BL27" s="19">
        <v>2</v>
      </c>
      <c r="BM27" s="19">
        <v>1</v>
      </c>
      <c r="BN27" s="19">
        <v>3</v>
      </c>
      <c r="BO27" s="19">
        <v>3</v>
      </c>
      <c r="BP27" s="19">
        <v>4</v>
      </c>
      <c r="BQ27" s="19">
        <v>4</v>
      </c>
      <c r="BR27" s="19">
        <v>4</v>
      </c>
      <c r="BS27" s="19">
        <v>4</v>
      </c>
      <c r="BT27" s="19">
        <v>4</v>
      </c>
      <c r="BU27" s="19">
        <v>4</v>
      </c>
      <c r="BV27" s="19">
        <v>4</v>
      </c>
      <c r="BW27" s="19">
        <v>4</v>
      </c>
      <c r="BX27" s="19">
        <v>4</v>
      </c>
      <c r="BY27" s="19">
        <v>4</v>
      </c>
      <c r="BZ27" s="19">
        <v>4</v>
      </c>
      <c r="CA27" s="19">
        <v>4</v>
      </c>
      <c r="CB27" s="19">
        <v>4</v>
      </c>
      <c r="CC27" s="19">
        <v>3</v>
      </c>
      <c r="CD27" s="19">
        <v>4</v>
      </c>
      <c r="CE27" s="19">
        <v>4</v>
      </c>
      <c r="CF27" s="19">
        <v>4</v>
      </c>
      <c r="CG27" s="19">
        <v>4</v>
      </c>
      <c r="CH27" s="19">
        <v>4</v>
      </c>
      <c r="CI27" s="19">
        <v>4</v>
      </c>
      <c r="CJ27" s="19">
        <v>4</v>
      </c>
      <c r="CK27" s="19">
        <v>4</v>
      </c>
      <c r="CL27" s="19">
        <v>4</v>
      </c>
      <c r="CM27" s="19">
        <v>4</v>
      </c>
      <c r="CN27" s="19">
        <v>4</v>
      </c>
      <c r="CO27" s="19">
        <v>1</v>
      </c>
      <c r="CP27" s="19">
        <v>0</v>
      </c>
      <c r="CQ27" s="60">
        <v>1</v>
      </c>
      <c r="CR27" s="19">
        <v>1</v>
      </c>
      <c r="CS27" s="19">
        <v>0</v>
      </c>
      <c r="CT27" s="60">
        <v>1</v>
      </c>
      <c r="CU27" s="60">
        <v>0</v>
      </c>
      <c r="CV27" s="60">
        <v>0</v>
      </c>
      <c r="CW27" s="60">
        <v>0</v>
      </c>
      <c r="CX27" s="60">
        <v>1</v>
      </c>
      <c r="CY27" s="60">
        <v>0</v>
      </c>
      <c r="CZ27" s="19">
        <v>3</v>
      </c>
      <c r="DA27" s="19">
        <v>2</v>
      </c>
    </row>
    <row r="28" spans="1:105" s="34" customFormat="1">
      <c r="A28" s="40">
        <v>27</v>
      </c>
      <c r="B28" s="18">
        <v>183</v>
      </c>
      <c r="C28" s="19">
        <v>3</v>
      </c>
      <c r="D28" s="19">
        <v>2</v>
      </c>
      <c r="E28" s="19">
        <v>3</v>
      </c>
      <c r="F28" s="19">
        <v>1</v>
      </c>
      <c r="G28" s="19">
        <v>1</v>
      </c>
      <c r="H28" s="19">
        <v>1</v>
      </c>
      <c r="I28" s="19">
        <v>0</v>
      </c>
      <c r="J28" s="19">
        <v>0</v>
      </c>
      <c r="K28" s="19">
        <v>1</v>
      </c>
      <c r="L28" s="19">
        <v>2</v>
      </c>
      <c r="M28" s="19">
        <v>1</v>
      </c>
      <c r="N28" s="19">
        <v>2</v>
      </c>
      <c r="O28" s="19">
        <v>2</v>
      </c>
      <c r="P28" s="19">
        <v>2</v>
      </c>
      <c r="Q28" s="19">
        <v>4</v>
      </c>
      <c r="R28" s="19">
        <v>3</v>
      </c>
      <c r="S28" s="19">
        <v>1</v>
      </c>
      <c r="T28" s="19">
        <v>4</v>
      </c>
      <c r="U28" s="19">
        <v>4</v>
      </c>
      <c r="V28" s="19">
        <v>2</v>
      </c>
      <c r="W28" s="19">
        <v>2</v>
      </c>
      <c r="X28" s="19">
        <v>4</v>
      </c>
      <c r="Y28" s="19">
        <v>3</v>
      </c>
      <c r="Z28" s="19">
        <v>3</v>
      </c>
      <c r="AA28" s="19">
        <v>2</v>
      </c>
      <c r="AB28" s="19">
        <v>4</v>
      </c>
      <c r="AC28" s="19">
        <v>2</v>
      </c>
      <c r="AD28" s="19">
        <v>3</v>
      </c>
      <c r="AE28" s="19">
        <v>3</v>
      </c>
      <c r="AF28" s="19">
        <v>1</v>
      </c>
      <c r="AG28" s="19">
        <v>4</v>
      </c>
      <c r="AH28" s="19">
        <v>4</v>
      </c>
      <c r="AI28" s="19">
        <v>2</v>
      </c>
      <c r="AJ28" s="19">
        <v>1</v>
      </c>
      <c r="AK28" s="19">
        <v>4</v>
      </c>
      <c r="AL28" s="19">
        <v>3</v>
      </c>
      <c r="AM28" s="19">
        <v>2</v>
      </c>
      <c r="AN28" s="19">
        <v>1</v>
      </c>
      <c r="AO28" s="19">
        <v>4</v>
      </c>
      <c r="AP28" s="19">
        <v>4</v>
      </c>
      <c r="AQ28" s="19">
        <v>3</v>
      </c>
      <c r="AR28" s="19">
        <v>1</v>
      </c>
      <c r="AS28" s="19">
        <v>4</v>
      </c>
      <c r="AT28" s="19">
        <v>4</v>
      </c>
      <c r="AU28" s="19">
        <v>3</v>
      </c>
      <c r="AV28" s="19">
        <v>1</v>
      </c>
      <c r="AW28" s="19">
        <v>3</v>
      </c>
      <c r="AX28" s="19">
        <v>3</v>
      </c>
      <c r="AY28" s="19">
        <v>3</v>
      </c>
      <c r="AZ28" s="19">
        <v>1</v>
      </c>
      <c r="BA28" s="19">
        <v>4</v>
      </c>
      <c r="BB28" s="19">
        <v>3</v>
      </c>
      <c r="BC28" s="19">
        <v>4</v>
      </c>
      <c r="BD28" s="19">
        <v>3</v>
      </c>
      <c r="BE28" s="19">
        <v>1</v>
      </c>
      <c r="BF28" s="19">
        <v>4</v>
      </c>
      <c r="BG28" s="19">
        <v>4</v>
      </c>
      <c r="BH28" s="19">
        <v>2</v>
      </c>
      <c r="BI28" s="19">
        <v>1</v>
      </c>
      <c r="BJ28" s="19">
        <v>4</v>
      </c>
      <c r="BK28" s="19">
        <v>3</v>
      </c>
      <c r="BL28" s="19">
        <v>1</v>
      </c>
      <c r="BM28" s="19">
        <v>1</v>
      </c>
      <c r="BN28" s="19">
        <v>4</v>
      </c>
      <c r="BO28" s="19">
        <v>2</v>
      </c>
      <c r="BP28" s="19">
        <v>5</v>
      </c>
      <c r="BQ28" s="19">
        <v>5</v>
      </c>
      <c r="BR28" s="19">
        <v>5</v>
      </c>
      <c r="BS28" s="19">
        <v>4</v>
      </c>
      <c r="BT28" s="19">
        <v>4</v>
      </c>
      <c r="BU28" s="19">
        <v>4</v>
      </c>
      <c r="BV28" s="19">
        <v>4</v>
      </c>
      <c r="BW28" s="19">
        <v>4</v>
      </c>
      <c r="BX28" s="19">
        <v>4</v>
      </c>
      <c r="BY28" s="19">
        <v>4</v>
      </c>
      <c r="BZ28" s="19">
        <v>5</v>
      </c>
      <c r="CA28" s="19">
        <v>4</v>
      </c>
      <c r="CB28" s="19">
        <v>3</v>
      </c>
      <c r="CC28" s="19">
        <v>3</v>
      </c>
      <c r="CD28" s="19">
        <v>4</v>
      </c>
      <c r="CE28" s="19">
        <v>3</v>
      </c>
      <c r="CF28" s="19">
        <v>4</v>
      </c>
      <c r="CG28" s="19">
        <v>4</v>
      </c>
      <c r="CH28" s="19">
        <v>4</v>
      </c>
      <c r="CI28" s="19">
        <v>4</v>
      </c>
      <c r="CJ28" s="19">
        <v>4</v>
      </c>
      <c r="CK28" s="19">
        <v>4</v>
      </c>
      <c r="CL28" s="19">
        <v>4</v>
      </c>
      <c r="CM28" s="19">
        <v>4</v>
      </c>
      <c r="CN28" s="19">
        <v>4</v>
      </c>
      <c r="CO28" s="19">
        <v>1</v>
      </c>
      <c r="CP28" s="19">
        <v>1</v>
      </c>
      <c r="CQ28" s="60">
        <v>0</v>
      </c>
      <c r="CR28" s="19">
        <v>0</v>
      </c>
      <c r="CS28" s="19">
        <v>0</v>
      </c>
      <c r="CT28" s="60">
        <v>0</v>
      </c>
      <c r="CU28" s="60">
        <v>0</v>
      </c>
      <c r="CV28" s="60">
        <v>1</v>
      </c>
      <c r="CW28" s="60">
        <v>0</v>
      </c>
      <c r="CX28" s="60">
        <v>0</v>
      </c>
      <c r="CY28" s="60">
        <v>0</v>
      </c>
      <c r="CZ28" s="19">
        <v>3</v>
      </c>
      <c r="DA28" s="19">
        <v>6</v>
      </c>
    </row>
    <row r="29" spans="1:105" s="34" customFormat="1">
      <c r="A29" s="40">
        <v>28</v>
      </c>
      <c r="B29" s="18">
        <v>178</v>
      </c>
      <c r="C29" s="19">
        <v>3</v>
      </c>
      <c r="D29" s="19">
        <v>3</v>
      </c>
      <c r="E29" s="19">
        <v>3</v>
      </c>
      <c r="F29" s="19">
        <v>1</v>
      </c>
      <c r="G29" s="19">
        <v>1</v>
      </c>
      <c r="H29" s="19">
        <v>1</v>
      </c>
      <c r="I29" s="19">
        <v>0</v>
      </c>
      <c r="J29" s="19">
        <v>0</v>
      </c>
      <c r="K29" s="19">
        <v>3</v>
      </c>
      <c r="L29" s="19">
        <v>3</v>
      </c>
      <c r="M29" s="19">
        <v>2</v>
      </c>
      <c r="N29" s="19">
        <v>3</v>
      </c>
      <c r="O29" s="19">
        <v>2</v>
      </c>
      <c r="P29" s="19">
        <v>4</v>
      </c>
      <c r="Q29" s="19">
        <v>4</v>
      </c>
      <c r="R29" s="19">
        <v>2</v>
      </c>
      <c r="S29" s="19">
        <v>1</v>
      </c>
      <c r="T29" s="19">
        <v>3</v>
      </c>
      <c r="U29" s="19">
        <v>4</v>
      </c>
      <c r="V29" s="19">
        <v>2</v>
      </c>
      <c r="W29" s="19">
        <v>1</v>
      </c>
      <c r="X29" s="19">
        <v>3</v>
      </c>
      <c r="Y29" s="19">
        <v>4</v>
      </c>
      <c r="Z29" s="19">
        <v>3</v>
      </c>
      <c r="AA29" s="19">
        <v>1</v>
      </c>
      <c r="AB29" s="19">
        <v>3</v>
      </c>
      <c r="AC29" s="19">
        <v>4</v>
      </c>
      <c r="AD29" s="19">
        <v>2</v>
      </c>
      <c r="AE29" s="19">
        <v>3</v>
      </c>
      <c r="AF29" s="19">
        <v>1</v>
      </c>
      <c r="AG29" s="19">
        <v>2</v>
      </c>
      <c r="AH29" s="19">
        <v>2</v>
      </c>
      <c r="AI29" s="19">
        <v>4</v>
      </c>
      <c r="AJ29" s="19">
        <v>1</v>
      </c>
      <c r="AK29" s="19">
        <v>2</v>
      </c>
      <c r="AL29" s="19">
        <v>3</v>
      </c>
      <c r="AM29" s="19">
        <v>2</v>
      </c>
      <c r="AN29" s="19">
        <v>1</v>
      </c>
      <c r="AO29" s="19">
        <v>3</v>
      </c>
      <c r="AP29" s="19">
        <v>4</v>
      </c>
      <c r="AQ29" s="19">
        <v>3</v>
      </c>
      <c r="AR29" s="19">
        <v>1</v>
      </c>
      <c r="AS29" s="19">
        <v>2</v>
      </c>
      <c r="AT29" s="19">
        <v>3</v>
      </c>
      <c r="AU29" s="19">
        <v>2</v>
      </c>
      <c r="AV29" s="19">
        <v>1</v>
      </c>
      <c r="AW29" s="19">
        <v>3</v>
      </c>
      <c r="AX29" s="19">
        <v>3</v>
      </c>
      <c r="AY29" s="19">
        <v>2</v>
      </c>
      <c r="AZ29" s="19">
        <v>1</v>
      </c>
      <c r="BA29" s="19">
        <v>3</v>
      </c>
      <c r="BB29" s="19">
        <v>3</v>
      </c>
      <c r="BC29" s="19">
        <v>4</v>
      </c>
      <c r="BD29" s="19">
        <v>2</v>
      </c>
      <c r="BE29" s="19">
        <v>1</v>
      </c>
      <c r="BF29" s="19">
        <v>3</v>
      </c>
      <c r="BG29" s="19">
        <v>4</v>
      </c>
      <c r="BH29" s="19">
        <v>1</v>
      </c>
      <c r="BI29" s="19">
        <v>1</v>
      </c>
      <c r="BJ29" s="19">
        <v>3</v>
      </c>
      <c r="BK29" s="19">
        <v>3</v>
      </c>
      <c r="BL29" s="19">
        <v>1</v>
      </c>
      <c r="BM29" s="19">
        <v>1</v>
      </c>
      <c r="BN29" s="19">
        <v>4</v>
      </c>
      <c r="BO29" s="19">
        <v>3</v>
      </c>
      <c r="BP29" s="19">
        <v>5</v>
      </c>
      <c r="BQ29" s="19">
        <v>4</v>
      </c>
      <c r="BR29" s="19">
        <v>3</v>
      </c>
      <c r="BS29" s="19">
        <v>4</v>
      </c>
      <c r="BT29" s="19">
        <v>4</v>
      </c>
      <c r="BU29" s="19">
        <v>5</v>
      </c>
      <c r="BV29" s="19">
        <v>4</v>
      </c>
      <c r="BW29" s="19">
        <v>3</v>
      </c>
      <c r="BX29" s="19">
        <v>5</v>
      </c>
      <c r="BY29" s="19">
        <v>5</v>
      </c>
      <c r="BZ29" s="19">
        <v>4</v>
      </c>
      <c r="CA29" s="19">
        <v>5</v>
      </c>
      <c r="CB29" s="19">
        <v>2</v>
      </c>
      <c r="CC29" s="19">
        <v>3</v>
      </c>
      <c r="CD29" s="19">
        <v>5</v>
      </c>
      <c r="CE29" s="19">
        <v>4</v>
      </c>
      <c r="CF29" s="19">
        <v>4</v>
      </c>
      <c r="CG29" s="19">
        <v>4</v>
      </c>
      <c r="CH29" s="19">
        <v>4</v>
      </c>
      <c r="CI29" s="19">
        <v>4</v>
      </c>
      <c r="CJ29" s="19">
        <v>4</v>
      </c>
      <c r="CK29" s="19">
        <v>4</v>
      </c>
      <c r="CL29" s="19">
        <v>4</v>
      </c>
      <c r="CM29" s="19">
        <v>5</v>
      </c>
      <c r="CN29" s="19">
        <v>3</v>
      </c>
      <c r="CO29" s="19">
        <v>1</v>
      </c>
      <c r="CP29" s="19">
        <v>1</v>
      </c>
      <c r="CQ29" s="60">
        <v>0</v>
      </c>
      <c r="CR29" s="19">
        <v>0</v>
      </c>
      <c r="CS29" s="19">
        <v>1</v>
      </c>
      <c r="CT29" s="60">
        <v>1</v>
      </c>
      <c r="CU29" s="60">
        <v>0</v>
      </c>
      <c r="CV29" s="60">
        <v>1</v>
      </c>
      <c r="CW29" s="60">
        <v>1</v>
      </c>
      <c r="CX29" s="60">
        <v>1</v>
      </c>
      <c r="CY29" s="60">
        <v>0</v>
      </c>
      <c r="CZ29" s="19">
        <v>2</v>
      </c>
      <c r="DA29" s="19">
        <v>6</v>
      </c>
    </row>
    <row r="30" spans="1:105" s="34" customFormat="1">
      <c r="A30" s="40">
        <v>29</v>
      </c>
      <c r="B30" s="18">
        <v>190</v>
      </c>
      <c r="C30" s="19">
        <v>1</v>
      </c>
      <c r="D30" s="19">
        <v>2</v>
      </c>
      <c r="E30" s="19">
        <v>4</v>
      </c>
      <c r="F30" s="19">
        <v>1</v>
      </c>
      <c r="G30" s="19">
        <v>0</v>
      </c>
      <c r="H30" s="19">
        <v>0</v>
      </c>
      <c r="I30" s="19">
        <v>0</v>
      </c>
      <c r="J30" s="19">
        <v>0</v>
      </c>
      <c r="K30" s="19">
        <v>2</v>
      </c>
      <c r="L30" s="19">
        <v>3</v>
      </c>
      <c r="M30" s="19">
        <v>2</v>
      </c>
      <c r="N30" s="19">
        <v>3</v>
      </c>
      <c r="O30" s="19">
        <v>3</v>
      </c>
      <c r="P30" s="19">
        <v>4</v>
      </c>
      <c r="Q30" s="19">
        <v>4</v>
      </c>
      <c r="R30" s="19">
        <v>3</v>
      </c>
      <c r="S30" s="19">
        <v>1</v>
      </c>
      <c r="T30" s="19">
        <v>3</v>
      </c>
      <c r="U30" s="19">
        <v>4</v>
      </c>
      <c r="V30" s="19">
        <v>3</v>
      </c>
      <c r="W30" s="19">
        <v>1</v>
      </c>
      <c r="X30" s="19">
        <v>2</v>
      </c>
      <c r="Y30" s="19">
        <v>3</v>
      </c>
      <c r="Z30" s="19">
        <v>3</v>
      </c>
      <c r="AA30" s="19">
        <v>1</v>
      </c>
      <c r="AB30" s="19">
        <v>4</v>
      </c>
      <c r="AC30" s="19">
        <v>3</v>
      </c>
      <c r="AD30" s="19">
        <v>4</v>
      </c>
      <c r="AE30" s="19">
        <v>4</v>
      </c>
      <c r="AF30" s="19">
        <v>1</v>
      </c>
      <c r="AG30" s="19">
        <v>2</v>
      </c>
      <c r="AH30" s="19">
        <v>3</v>
      </c>
      <c r="AI30" s="19">
        <v>4</v>
      </c>
      <c r="AJ30" s="19">
        <v>1</v>
      </c>
      <c r="AK30" s="19">
        <v>2</v>
      </c>
      <c r="AL30" s="19">
        <v>3</v>
      </c>
      <c r="AM30" s="19">
        <v>4</v>
      </c>
      <c r="AN30" s="19">
        <v>1</v>
      </c>
      <c r="AO30" s="19">
        <v>4</v>
      </c>
      <c r="AP30" s="19">
        <v>4</v>
      </c>
      <c r="AQ30" s="19">
        <v>4</v>
      </c>
      <c r="AR30" s="19">
        <v>2</v>
      </c>
      <c r="AS30" s="19">
        <v>3</v>
      </c>
      <c r="AT30" s="19">
        <v>3</v>
      </c>
      <c r="AU30" s="19">
        <v>4</v>
      </c>
      <c r="AV30" s="19">
        <v>1</v>
      </c>
      <c r="AW30" s="19">
        <v>2</v>
      </c>
      <c r="AX30" s="19">
        <v>2</v>
      </c>
      <c r="AY30" s="19">
        <v>3</v>
      </c>
      <c r="AZ30" s="19">
        <v>1</v>
      </c>
      <c r="BA30" s="19">
        <v>3</v>
      </c>
      <c r="BB30" s="19">
        <v>3</v>
      </c>
      <c r="BC30" s="19">
        <v>5</v>
      </c>
      <c r="BD30" s="19">
        <v>5</v>
      </c>
      <c r="BE30" s="19">
        <v>1</v>
      </c>
      <c r="BF30" s="19">
        <v>1</v>
      </c>
      <c r="BG30" s="19">
        <v>5</v>
      </c>
      <c r="BH30" s="19">
        <v>5</v>
      </c>
      <c r="BI30" s="19">
        <v>2</v>
      </c>
      <c r="BJ30" s="19">
        <v>3</v>
      </c>
      <c r="BK30" s="19">
        <v>4</v>
      </c>
      <c r="BL30" s="19">
        <v>2</v>
      </c>
      <c r="BM30" s="19">
        <v>1</v>
      </c>
      <c r="BN30" s="19">
        <v>3</v>
      </c>
      <c r="BO30" s="19">
        <v>3</v>
      </c>
      <c r="BP30" s="19">
        <v>5</v>
      </c>
      <c r="BQ30" s="19">
        <v>5</v>
      </c>
      <c r="BR30" s="19">
        <v>5</v>
      </c>
      <c r="BS30" s="19">
        <v>5</v>
      </c>
      <c r="BT30" s="19">
        <v>5</v>
      </c>
      <c r="BU30" s="19">
        <v>5</v>
      </c>
      <c r="BV30" s="19">
        <v>4</v>
      </c>
      <c r="BW30" s="19">
        <v>5</v>
      </c>
      <c r="BX30" s="19">
        <v>4</v>
      </c>
      <c r="BY30" s="19">
        <v>4</v>
      </c>
      <c r="BZ30" s="19">
        <v>4</v>
      </c>
      <c r="CA30" s="19">
        <v>5</v>
      </c>
      <c r="CB30" s="19">
        <v>4</v>
      </c>
      <c r="CC30" s="19">
        <v>4</v>
      </c>
      <c r="CD30" s="19">
        <v>4</v>
      </c>
      <c r="CE30" s="19">
        <v>5</v>
      </c>
      <c r="CF30" s="19">
        <v>4</v>
      </c>
      <c r="CG30" s="19">
        <v>4</v>
      </c>
      <c r="CH30" s="19">
        <v>4</v>
      </c>
      <c r="CI30" s="19">
        <v>3</v>
      </c>
      <c r="CJ30" s="19">
        <v>4</v>
      </c>
      <c r="CK30" s="19">
        <v>4</v>
      </c>
      <c r="CL30" s="19">
        <v>4</v>
      </c>
      <c r="CM30" s="19">
        <v>4</v>
      </c>
      <c r="CN30" s="19">
        <v>4</v>
      </c>
      <c r="CO30" s="19">
        <v>1</v>
      </c>
      <c r="CP30" s="19">
        <v>1</v>
      </c>
      <c r="CQ30" s="60">
        <v>0</v>
      </c>
      <c r="CR30" s="19">
        <v>0</v>
      </c>
      <c r="CS30" s="19">
        <v>0</v>
      </c>
      <c r="CT30" s="60">
        <v>0</v>
      </c>
      <c r="CU30" s="60">
        <v>1</v>
      </c>
      <c r="CV30" s="60">
        <v>1</v>
      </c>
      <c r="CW30" s="60">
        <v>0</v>
      </c>
      <c r="CX30" s="60">
        <v>1</v>
      </c>
      <c r="CY30" s="60">
        <v>1</v>
      </c>
      <c r="CZ30" s="19">
        <v>4</v>
      </c>
      <c r="DA30" s="19">
        <v>3</v>
      </c>
    </row>
    <row r="31" spans="1:105" s="34" customFormat="1">
      <c r="A31" s="40">
        <v>30</v>
      </c>
      <c r="B31" s="34">
        <v>195</v>
      </c>
      <c r="C31" s="19">
        <v>1</v>
      </c>
      <c r="D31" s="19">
        <v>3</v>
      </c>
      <c r="E31" s="19">
        <v>3</v>
      </c>
      <c r="F31" s="19">
        <v>0</v>
      </c>
      <c r="G31" s="19">
        <v>1</v>
      </c>
      <c r="H31" s="19">
        <v>0</v>
      </c>
      <c r="I31" s="19">
        <v>0</v>
      </c>
      <c r="J31" s="19">
        <v>0</v>
      </c>
      <c r="K31" s="19">
        <v>4</v>
      </c>
      <c r="L31" s="19">
        <v>3</v>
      </c>
      <c r="M31" s="19">
        <v>1</v>
      </c>
      <c r="N31" s="19">
        <v>5</v>
      </c>
      <c r="O31" s="19">
        <v>2</v>
      </c>
      <c r="P31" s="19">
        <v>2</v>
      </c>
      <c r="Q31" s="19">
        <v>2</v>
      </c>
      <c r="R31" s="19">
        <v>4</v>
      </c>
      <c r="S31" s="19">
        <v>1</v>
      </c>
      <c r="T31" s="19">
        <v>2</v>
      </c>
      <c r="U31" s="19">
        <v>3</v>
      </c>
      <c r="V31" s="19">
        <v>5</v>
      </c>
      <c r="W31" s="19">
        <v>1</v>
      </c>
      <c r="X31" s="19">
        <v>2</v>
      </c>
      <c r="Y31" s="19">
        <v>2</v>
      </c>
      <c r="Z31" s="19">
        <v>3</v>
      </c>
      <c r="AA31" s="19">
        <v>1</v>
      </c>
      <c r="AB31" s="19">
        <v>4</v>
      </c>
      <c r="AC31" s="19">
        <v>1</v>
      </c>
      <c r="AD31" s="19">
        <v>2</v>
      </c>
      <c r="AE31" s="19">
        <v>5</v>
      </c>
      <c r="AF31" s="19">
        <v>1</v>
      </c>
      <c r="AG31" s="19">
        <v>2</v>
      </c>
      <c r="AH31" s="19">
        <v>2</v>
      </c>
      <c r="AI31" s="19">
        <v>4</v>
      </c>
      <c r="AJ31" s="19">
        <v>1</v>
      </c>
      <c r="AK31" s="19">
        <v>1</v>
      </c>
      <c r="AL31" s="19">
        <v>2</v>
      </c>
      <c r="AM31" s="19">
        <v>5</v>
      </c>
      <c r="AN31" s="19">
        <v>1</v>
      </c>
      <c r="AO31" s="19">
        <v>2</v>
      </c>
      <c r="AP31" s="19">
        <v>5</v>
      </c>
      <c r="AQ31" s="19">
        <v>3</v>
      </c>
      <c r="AR31" s="19">
        <v>1</v>
      </c>
      <c r="AS31" s="19">
        <v>1</v>
      </c>
      <c r="AT31" s="19">
        <v>3</v>
      </c>
      <c r="AU31" s="19">
        <v>4</v>
      </c>
      <c r="AV31" s="19">
        <v>1</v>
      </c>
      <c r="AW31" s="19">
        <v>1</v>
      </c>
      <c r="AX31" s="19">
        <v>2</v>
      </c>
      <c r="AY31" s="19">
        <v>3</v>
      </c>
      <c r="AZ31" s="19">
        <v>1</v>
      </c>
      <c r="BA31" s="19">
        <v>4</v>
      </c>
      <c r="BB31" s="19">
        <v>1</v>
      </c>
      <c r="BC31" s="19">
        <v>5</v>
      </c>
      <c r="BD31" s="19">
        <v>2</v>
      </c>
      <c r="BE31" s="19">
        <v>1</v>
      </c>
      <c r="BF31" s="19">
        <v>3</v>
      </c>
      <c r="BG31" s="19">
        <v>5</v>
      </c>
      <c r="BH31" s="19">
        <v>2</v>
      </c>
      <c r="BI31" s="19">
        <v>1</v>
      </c>
      <c r="BJ31" s="19">
        <v>4</v>
      </c>
      <c r="BK31" s="19">
        <v>5</v>
      </c>
      <c r="BL31" s="19">
        <v>2</v>
      </c>
      <c r="BM31" s="19">
        <v>1</v>
      </c>
      <c r="BN31" s="19">
        <v>5</v>
      </c>
      <c r="BO31" s="19">
        <v>3</v>
      </c>
      <c r="BP31" s="19">
        <v>5</v>
      </c>
      <c r="BQ31" s="19">
        <v>5</v>
      </c>
      <c r="BR31" s="19">
        <v>5</v>
      </c>
      <c r="BS31" s="19">
        <v>5</v>
      </c>
      <c r="BT31" s="19">
        <v>5</v>
      </c>
      <c r="BU31" s="19">
        <v>5</v>
      </c>
      <c r="BV31" s="19">
        <v>5</v>
      </c>
      <c r="BW31" s="19">
        <v>5</v>
      </c>
      <c r="BX31" s="19">
        <v>5</v>
      </c>
      <c r="BY31" s="19">
        <v>5</v>
      </c>
      <c r="BZ31" s="19">
        <v>5</v>
      </c>
      <c r="CA31" s="19">
        <v>5</v>
      </c>
      <c r="CB31" s="19">
        <v>3</v>
      </c>
      <c r="CC31" s="19">
        <v>1</v>
      </c>
      <c r="CD31" s="19">
        <v>5</v>
      </c>
      <c r="CE31" s="19">
        <v>5</v>
      </c>
      <c r="CF31" s="19">
        <v>3</v>
      </c>
      <c r="CG31" s="19">
        <v>4</v>
      </c>
      <c r="CH31" s="19">
        <v>5</v>
      </c>
      <c r="CI31" s="19">
        <v>5</v>
      </c>
      <c r="CJ31" s="19">
        <v>4</v>
      </c>
      <c r="CK31" s="19">
        <v>5</v>
      </c>
      <c r="CL31" s="19">
        <v>5</v>
      </c>
      <c r="CM31" s="19">
        <v>5</v>
      </c>
      <c r="CN31" s="19">
        <v>5</v>
      </c>
      <c r="CO31" s="19">
        <v>1</v>
      </c>
      <c r="CP31" s="19">
        <v>1</v>
      </c>
      <c r="CQ31" s="60">
        <v>0</v>
      </c>
      <c r="CR31" s="19">
        <v>1</v>
      </c>
      <c r="CS31" s="19">
        <v>0</v>
      </c>
      <c r="CT31" s="60">
        <v>0</v>
      </c>
      <c r="CU31" s="60">
        <v>0</v>
      </c>
      <c r="CV31" s="60">
        <v>1</v>
      </c>
      <c r="CW31" s="60">
        <v>0</v>
      </c>
      <c r="CX31" s="60">
        <v>1</v>
      </c>
      <c r="CY31" s="60">
        <v>0</v>
      </c>
      <c r="CZ31" s="19">
        <v>4</v>
      </c>
      <c r="DA31" s="19">
        <v>4</v>
      </c>
    </row>
    <row r="32" spans="1:105" s="34" customFormat="1">
      <c r="A32" s="40">
        <v>31</v>
      </c>
      <c r="B32" s="34">
        <v>196</v>
      </c>
      <c r="C32" s="19">
        <v>1</v>
      </c>
      <c r="D32" s="19">
        <v>1</v>
      </c>
      <c r="E32" s="19">
        <v>2</v>
      </c>
      <c r="F32" s="19">
        <v>0</v>
      </c>
      <c r="G32" s="19">
        <v>1</v>
      </c>
      <c r="H32" s="19">
        <v>0</v>
      </c>
      <c r="I32" s="19">
        <v>0</v>
      </c>
      <c r="J32" s="19">
        <v>0</v>
      </c>
      <c r="K32" s="19">
        <v>1</v>
      </c>
      <c r="L32" s="19">
        <v>3</v>
      </c>
      <c r="M32" s="19">
        <v>1</v>
      </c>
      <c r="N32" s="19">
        <v>3</v>
      </c>
      <c r="O32" s="19">
        <v>2</v>
      </c>
      <c r="P32" s="19">
        <v>2</v>
      </c>
      <c r="Q32" s="19">
        <v>4</v>
      </c>
      <c r="R32" s="19">
        <v>1</v>
      </c>
      <c r="S32" s="19">
        <v>2</v>
      </c>
      <c r="T32" s="19">
        <v>3</v>
      </c>
      <c r="U32" s="19">
        <v>3</v>
      </c>
      <c r="V32" s="19">
        <v>1</v>
      </c>
      <c r="W32" s="19">
        <v>2</v>
      </c>
      <c r="X32" s="19">
        <v>3</v>
      </c>
      <c r="Y32" s="19">
        <v>1</v>
      </c>
      <c r="Z32" s="19">
        <v>1</v>
      </c>
      <c r="AA32" s="19">
        <v>1</v>
      </c>
      <c r="AB32" s="19">
        <v>3</v>
      </c>
      <c r="AC32" s="19">
        <v>3</v>
      </c>
      <c r="AD32" s="19">
        <v>3</v>
      </c>
      <c r="AE32" s="19">
        <v>1</v>
      </c>
      <c r="AF32" s="19">
        <v>1</v>
      </c>
      <c r="AG32" s="19">
        <v>4</v>
      </c>
      <c r="AH32" s="19">
        <v>3</v>
      </c>
      <c r="AI32" s="19">
        <v>1</v>
      </c>
      <c r="AJ32" s="19">
        <v>1</v>
      </c>
      <c r="AK32" s="19">
        <v>4</v>
      </c>
      <c r="AL32" s="19">
        <v>1</v>
      </c>
      <c r="AM32" s="19">
        <v>1</v>
      </c>
      <c r="AN32" s="19">
        <v>1</v>
      </c>
      <c r="AO32" s="19">
        <v>3</v>
      </c>
      <c r="AP32" s="19">
        <v>3</v>
      </c>
      <c r="AQ32" s="19">
        <v>2</v>
      </c>
      <c r="AR32" s="19">
        <v>1</v>
      </c>
      <c r="AS32" s="19">
        <v>3</v>
      </c>
      <c r="AT32" s="19">
        <v>4</v>
      </c>
      <c r="AU32" s="19">
        <v>2</v>
      </c>
      <c r="AV32" s="19">
        <v>1</v>
      </c>
      <c r="AW32" s="19">
        <v>3</v>
      </c>
      <c r="AX32" s="19">
        <v>1</v>
      </c>
      <c r="AY32" s="19">
        <v>2</v>
      </c>
      <c r="AZ32" s="19">
        <v>1</v>
      </c>
      <c r="BA32" s="19">
        <v>3</v>
      </c>
      <c r="BB32" s="19">
        <v>3</v>
      </c>
      <c r="BC32" s="19">
        <v>4</v>
      </c>
      <c r="BD32" s="19">
        <v>1</v>
      </c>
      <c r="BE32" s="19">
        <v>1</v>
      </c>
      <c r="BF32" s="19">
        <v>4</v>
      </c>
      <c r="BG32" s="19">
        <v>4</v>
      </c>
      <c r="BH32" s="19">
        <v>1</v>
      </c>
      <c r="BI32" s="19">
        <v>1</v>
      </c>
      <c r="BJ32" s="19">
        <v>4</v>
      </c>
      <c r="BK32" s="19">
        <v>1</v>
      </c>
      <c r="BL32" s="19">
        <v>1</v>
      </c>
      <c r="BM32" s="19">
        <v>1</v>
      </c>
      <c r="BN32" s="19">
        <v>4</v>
      </c>
      <c r="BO32" s="19">
        <v>4</v>
      </c>
      <c r="BP32" s="19">
        <v>5</v>
      </c>
      <c r="BQ32" s="19">
        <v>5</v>
      </c>
      <c r="BR32" s="19">
        <v>5</v>
      </c>
      <c r="BS32" s="19">
        <v>5</v>
      </c>
      <c r="BT32" s="19">
        <v>5</v>
      </c>
      <c r="BU32" s="19">
        <v>5</v>
      </c>
      <c r="BV32" s="19">
        <v>4</v>
      </c>
      <c r="BW32" s="19">
        <v>5</v>
      </c>
      <c r="BX32" s="19">
        <v>5</v>
      </c>
      <c r="BY32" s="19">
        <v>5</v>
      </c>
      <c r="BZ32" s="19">
        <v>5</v>
      </c>
      <c r="CA32" s="19">
        <v>5</v>
      </c>
      <c r="CB32" s="19">
        <v>4</v>
      </c>
      <c r="CC32" s="19">
        <v>5</v>
      </c>
      <c r="CD32" s="19">
        <v>5</v>
      </c>
      <c r="CE32" s="19">
        <v>5</v>
      </c>
      <c r="CF32" s="19">
        <v>5</v>
      </c>
      <c r="CG32" s="19">
        <v>5</v>
      </c>
      <c r="CH32" s="19">
        <v>5</v>
      </c>
      <c r="CI32" s="19">
        <v>5</v>
      </c>
      <c r="CJ32" s="19">
        <v>5</v>
      </c>
      <c r="CK32" s="19">
        <v>5</v>
      </c>
      <c r="CL32" s="19">
        <v>5</v>
      </c>
      <c r="CM32" s="19">
        <v>5</v>
      </c>
      <c r="CN32" s="19">
        <v>5</v>
      </c>
      <c r="CO32" s="19">
        <v>1</v>
      </c>
      <c r="CP32" s="19">
        <v>1</v>
      </c>
      <c r="CQ32" s="60">
        <v>1</v>
      </c>
      <c r="CR32" s="19">
        <v>1</v>
      </c>
      <c r="CS32" s="19">
        <v>0</v>
      </c>
      <c r="CT32" s="60">
        <v>1</v>
      </c>
      <c r="CU32" s="60">
        <v>0</v>
      </c>
      <c r="CV32" s="60">
        <v>1</v>
      </c>
      <c r="CW32" s="60">
        <v>0</v>
      </c>
      <c r="CX32" s="60">
        <v>1</v>
      </c>
      <c r="CY32" s="60">
        <v>1</v>
      </c>
      <c r="CZ32" s="19">
        <v>5</v>
      </c>
      <c r="DA32" s="19">
        <v>2</v>
      </c>
    </row>
    <row r="33" spans="1:105" s="34" customFormat="1">
      <c r="A33" s="40">
        <v>32</v>
      </c>
      <c r="B33" s="34">
        <v>197</v>
      </c>
      <c r="C33" s="19">
        <v>1</v>
      </c>
      <c r="D33" s="19">
        <v>2</v>
      </c>
      <c r="E33" s="19">
        <v>3</v>
      </c>
      <c r="F33" s="19">
        <v>1</v>
      </c>
      <c r="G33" s="19">
        <v>1</v>
      </c>
      <c r="H33" s="19">
        <v>1</v>
      </c>
      <c r="I33" s="19">
        <v>0</v>
      </c>
      <c r="J33" s="19">
        <v>0</v>
      </c>
      <c r="K33" s="19">
        <v>3</v>
      </c>
      <c r="L33" s="19">
        <v>2</v>
      </c>
      <c r="M33" s="19">
        <v>1</v>
      </c>
      <c r="N33" s="19">
        <v>4</v>
      </c>
      <c r="O33" s="19">
        <v>1</v>
      </c>
      <c r="P33" s="19">
        <v>3</v>
      </c>
      <c r="Q33" s="19">
        <v>4</v>
      </c>
      <c r="R33" s="19">
        <v>4</v>
      </c>
      <c r="S33" s="19">
        <v>1</v>
      </c>
      <c r="T33" s="19">
        <v>3</v>
      </c>
      <c r="U33" s="19">
        <v>4</v>
      </c>
      <c r="V33" s="19">
        <v>2</v>
      </c>
      <c r="W33" s="19">
        <v>1</v>
      </c>
      <c r="X33" s="19">
        <v>4</v>
      </c>
      <c r="Y33" s="19">
        <v>4</v>
      </c>
      <c r="Z33" s="19">
        <v>1</v>
      </c>
      <c r="AA33" s="19">
        <v>1</v>
      </c>
      <c r="AB33" s="19">
        <v>4</v>
      </c>
      <c r="AC33" s="19">
        <v>3</v>
      </c>
      <c r="AD33" s="19">
        <v>3</v>
      </c>
      <c r="AE33" s="19">
        <v>3</v>
      </c>
      <c r="AF33" s="19">
        <v>1</v>
      </c>
      <c r="AG33" s="19">
        <v>3</v>
      </c>
      <c r="AH33" s="19">
        <v>3</v>
      </c>
      <c r="AI33" s="19">
        <v>2</v>
      </c>
      <c r="AJ33" s="19">
        <v>1</v>
      </c>
      <c r="AK33" s="19">
        <v>4</v>
      </c>
      <c r="AL33" s="19">
        <v>3</v>
      </c>
      <c r="AM33" s="19">
        <v>2</v>
      </c>
      <c r="AN33" s="19">
        <v>1</v>
      </c>
      <c r="AO33" s="19">
        <v>3</v>
      </c>
      <c r="AP33" s="19">
        <v>4</v>
      </c>
      <c r="AQ33" s="19">
        <v>4</v>
      </c>
      <c r="AR33" s="19">
        <v>1</v>
      </c>
      <c r="AS33" s="19">
        <v>3</v>
      </c>
      <c r="AT33" s="19">
        <v>4</v>
      </c>
      <c r="AU33" s="19">
        <v>4</v>
      </c>
      <c r="AV33" s="19">
        <v>1</v>
      </c>
      <c r="AW33" s="19">
        <v>3</v>
      </c>
      <c r="AX33" s="19">
        <v>4</v>
      </c>
      <c r="AY33" s="19">
        <v>2</v>
      </c>
      <c r="AZ33" s="19">
        <v>1</v>
      </c>
      <c r="BA33" s="19">
        <v>4</v>
      </c>
      <c r="BB33" s="19">
        <v>3</v>
      </c>
      <c r="BC33" s="19">
        <v>4</v>
      </c>
      <c r="BD33" s="19">
        <v>3</v>
      </c>
      <c r="BE33" s="19">
        <v>1</v>
      </c>
      <c r="BF33" s="19">
        <v>3</v>
      </c>
      <c r="BG33" s="19">
        <v>4</v>
      </c>
      <c r="BH33" s="19">
        <v>2</v>
      </c>
      <c r="BI33" s="19">
        <v>1</v>
      </c>
      <c r="BJ33" s="19">
        <v>3</v>
      </c>
      <c r="BK33" s="19">
        <v>4</v>
      </c>
      <c r="BL33" s="19">
        <v>2</v>
      </c>
      <c r="BM33" s="19">
        <v>1</v>
      </c>
      <c r="BN33" s="19">
        <v>4</v>
      </c>
      <c r="BO33" s="19">
        <v>3</v>
      </c>
      <c r="BP33" s="19">
        <v>5</v>
      </c>
      <c r="BQ33" s="19">
        <v>5</v>
      </c>
      <c r="BR33" s="19">
        <v>5</v>
      </c>
      <c r="BS33" s="19">
        <v>5</v>
      </c>
      <c r="BT33" s="19">
        <v>5</v>
      </c>
      <c r="BU33" s="19">
        <v>5</v>
      </c>
      <c r="BV33" s="19">
        <v>5</v>
      </c>
      <c r="BW33" s="19">
        <v>5</v>
      </c>
      <c r="BX33" s="19">
        <v>5</v>
      </c>
      <c r="BY33" s="19">
        <v>5</v>
      </c>
      <c r="BZ33" s="19">
        <v>5</v>
      </c>
      <c r="CA33" s="19">
        <v>5</v>
      </c>
      <c r="CB33" s="19">
        <v>4</v>
      </c>
      <c r="CC33" s="19">
        <v>5</v>
      </c>
      <c r="CD33" s="19">
        <v>5</v>
      </c>
      <c r="CE33" s="19">
        <v>4</v>
      </c>
      <c r="CF33" s="19">
        <v>4</v>
      </c>
      <c r="CG33" s="19">
        <v>4</v>
      </c>
      <c r="CH33" s="19">
        <v>5</v>
      </c>
      <c r="CI33" s="19">
        <v>5</v>
      </c>
      <c r="CJ33" s="19">
        <v>5</v>
      </c>
      <c r="CK33" s="19">
        <v>4</v>
      </c>
      <c r="CL33" s="19">
        <v>5</v>
      </c>
      <c r="CM33" s="19">
        <v>5</v>
      </c>
      <c r="CN33" s="19">
        <v>4</v>
      </c>
      <c r="CO33" s="19">
        <v>1</v>
      </c>
      <c r="CP33" s="19">
        <v>0</v>
      </c>
      <c r="CQ33" s="60">
        <v>0</v>
      </c>
      <c r="CR33" s="19">
        <v>1</v>
      </c>
      <c r="CS33" s="19">
        <v>0</v>
      </c>
      <c r="CT33" s="60">
        <v>0</v>
      </c>
      <c r="CU33" s="60">
        <v>0</v>
      </c>
      <c r="CV33" s="60">
        <v>1</v>
      </c>
      <c r="CW33" s="60">
        <v>0</v>
      </c>
      <c r="CX33" s="60">
        <v>1</v>
      </c>
      <c r="CY33" s="60">
        <v>0</v>
      </c>
      <c r="CZ33" s="19">
        <v>3</v>
      </c>
      <c r="DA33" s="19">
        <v>1</v>
      </c>
    </row>
    <row r="34" spans="1:105" s="34" customFormat="1">
      <c r="A34" s="40">
        <v>33</v>
      </c>
      <c r="B34" s="18">
        <v>167</v>
      </c>
      <c r="C34" s="19">
        <v>1</v>
      </c>
      <c r="D34" s="19">
        <v>3</v>
      </c>
      <c r="E34" s="19">
        <v>4</v>
      </c>
      <c r="F34" s="19">
        <v>0</v>
      </c>
      <c r="G34" s="19">
        <v>1</v>
      </c>
      <c r="H34" s="19">
        <v>1</v>
      </c>
      <c r="I34" s="19">
        <v>0</v>
      </c>
      <c r="J34" s="19">
        <v>0</v>
      </c>
      <c r="K34" s="19">
        <v>2</v>
      </c>
      <c r="L34" s="19">
        <v>4</v>
      </c>
      <c r="M34" s="19">
        <v>2</v>
      </c>
      <c r="N34" s="19">
        <v>3</v>
      </c>
      <c r="O34" s="19">
        <v>1</v>
      </c>
      <c r="P34" s="19">
        <v>4</v>
      </c>
      <c r="Q34" s="19">
        <v>4</v>
      </c>
      <c r="R34" s="19">
        <v>3</v>
      </c>
      <c r="S34" s="19">
        <v>2</v>
      </c>
      <c r="T34" s="19">
        <v>3</v>
      </c>
      <c r="U34" s="19">
        <v>3</v>
      </c>
      <c r="V34" s="19">
        <v>2</v>
      </c>
      <c r="W34" s="19">
        <v>1</v>
      </c>
      <c r="X34" s="19">
        <v>3</v>
      </c>
      <c r="Y34" s="19">
        <v>4</v>
      </c>
      <c r="Z34" s="19">
        <v>1</v>
      </c>
      <c r="AA34" s="19">
        <v>1</v>
      </c>
      <c r="AB34" s="19">
        <v>3</v>
      </c>
      <c r="AC34" s="19">
        <v>3</v>
      </c>
      <c r="AD34" s="19">
        <v>4</v>
      </c>
      <c r="AE34" s="19">
        <v>1</v>
      </c>
      <c r="AF34" s="19">
        <v>2</v>
      </c>
      <c r="AG34" s="19">
        <v>3</v>
      </c>
      <c r="AH34" s="19">
        <v>4</v>
      </c>
      <c r="AI34" s="19">
        <v>2</v>
      </c>
      <c r="AJ34" s="19">
        <v>1</v>
      </c>
      <c r="AK34" s="19">
        <v>2</v>
      </c>
      <c r="AL34" s="19">
        <v>3</v>
      </c>
      <c r="AM34" s="19">
        <v>1</v>
      </c>
      <c r="AN34" s="19">
        <v>1</v>
      </c>
      <c r="AO34" s="19">
        <v>3</v>
      </c>
      <c r="AP34" s="19">
        <v>4</v>
      </c>
      <c r="AQ34" s="19">
        <v>2</v>
      </c>
      <c r="AR34" s="19">
        <v>1</v>
      </c>
      <c r="AS34" s="19">
        <v>3</v>
      </c>
      <c r="AT34" s="19">
        <v>3</v>
      </c>
      <c r="AU34" s="19">
        <v>2</v>
      </c>
      <c r="AV34" s="19">
        <v>1</v>
      </c>
      <c r="AW34" s="19">
        <v>3</v>
      </c>
      <c r="AX34" s="19">
        <v>3</v>
      </c>
      <c r="AY34" s="19">
        <v>1</v>
      </c>
      <c r="AZ34" s="19">
        <v>1</v>
      </c>
      <c r="BA34" s="19">
        <v>2</v>
      </c>
      <c r="BB34" s="19">
        <v>3</v>
      </c>
      <c r="BC34" s="19">
        <v>4</v>
      </c>
      <c r="BD34" s="19">
        <v>1</v>
      </c>
      <c r="BE34" s="19">
        <v>1</v>
      </c>
      <c r="BF34" s="19">
        <v>3</v>
      </c>
      <c r="BG34" s="19">
        <v>4</v>
      </c>
      <c r="BH34" s="19">
        <v>1</v>
      </c>
      <c r="BI34" s="19">
        <v>1</v>
      </c>
      <c r="BJ34" s="19">
        <v>3</v>
      </c>
      <c r="BK34" s="19">
        <v>4</v>
      </c>
      <c r="BL34" s="19">
        <v>1</v>
      </c>
      <c r="BM34" s="19">
        <v>1</v>
      </c>
      <c r="BN34" s="19">
        <v>3</v>
      </c>
      <c r="BO34" s="19">
        <v>3</v>
      </c>
      <c r="BP34" s="19">
        <v>5</v>
      </c>
      <c r="BQ34" s="19">
        <v>5</v>
      </c>
      <c r="BR34" s="19">
        <v>5</v>
      </c>
      <c r="BS34" s="19">
        <v>5</v>
      </c>
      <c r="BT34" s="19">
        <v>5</v>
      </c>
      <c r="BU34" s="19">
        <v>5</v>
      </c>
      <c r="BV34" s="19">
        <v>4</v>
      </c>
      <c r="BW34" s="19">
        <v>4</v>
      </c>
      <c r="BX34" s="19">
        <v>4</v>
      </c>
      <c r="BY34" s="19">
        <v>4</v>
      </c>
      <c r="BZ34" s="19">
        <v>3</v>
      </c>
      <c r="CA34" s="19">
        <v>4</v>
      </c>
      <c r="CB34" s="19">
        <v>4</v>
      </c>
      <c r="CC34" s="19">
        <v>4</v>
      </c>
      <c r="CD34" s="19">
        <v>5</v>
      </c>
      <c r="CE34" s="19">
        <v>5</v>
      </c>
      <c r="CF34" s="19">
        <v>4</v>
      </c>
      <c r="CG34" s="19">
        <v>4</v>
      </c>
      <c r="CH34" s="19">
        <v>5</v>
      </c>
      <c r="CI34" s="19">
        <v>4</v>
      </c>
      <c r="CJ34" s="19">
        <v>4</v>
      </c>
      <c r="CK34" s="19">
        <v>5</v>
      </c>
      <c r="CL34" s="19">
        <v>4</v>
      </c>
      <c r="CM34" s="19">
        <v>4</v>
      </c>
      <c r="CN34" s="19">
        <v>4</v>
      </c>
      <c r="CO34" s="19">
        <v>1</v>
      </c>
      <c r="CP34" s="19">
        <v>1</v>
      </c>
      <c r="CQ34" s="60">
        <v>0</v>
      </c>
      <c r="CR34" s="19">
        <v>0</v>
      </c>
      <c r="CS34" s="19">
        <v>0</v>
      </c>
      <c r="CT34" s="60">
        <v>1</v>
      </c>
      <c r="CU34" s="60">
        <v>0</v>
      </c>
      <c r="CV34" s="60">
        <v>0</v>
      </c>
      <c r="CW34" s="60">
        <v>0</v>
      </c>
      <c r="CX34" s="60">
        <v>0</v>
      </c>
      <c r="CY34" s="60">
        <v>1</v>
      </c>
      <c r="CZ34" s="19">
        <v>4</v>
      </c>
      <c r="DA34" s="19">
        <v>6</v>
      </c>
    </row>
    <row r="35" spans="1:105" s="34" customFormat="1">
      <c r="A35" s="40">
        <v>34</v>
      </c>
      <c r="B35" s="18">
        <v>187</v>
      </c>
      <c r="C35" s="19">
        <v>1</v>
      </c>
      <c r="D35" s="19">
        <v>1</v>
      </c>
      <c r="E35" s="19">
        <v>1</v>
      </c>
      <c r="F35" s="19">
        <v>0</v>
      </c>
      <c r="G35" s="19">
        <v>0</v>
      </c>
      <c r="H35" s="19">
        <v>0</v>
      </c>
      <c r="I35" s="19">
        <v>1</v>
      </c>
      <c r="J35" s="19">
        <v>0</v>
      </c>
      <c r="K35" s="19">
        <v>1</v>
      </c>
      <c r="L35" s="19">
        <v>2</v>
      </c>
      <c r="M35" s="19">
        <v>1</v>
      </c>
      <c r="N35" s="19">
        <v>3</v>
      </c>
      <c r="O35" s="19">
        <v>2</v>
      </c>
      <c r="P35" s="19">
        <v>3</v>
      </c>
      <c r="Q35" s="19">
        <v>1</v>
      </c>
      <c r="R35" s="19">
        <v>1</v>
      </c>
      <c r="S35" s="19">
        <v>3</v>
      </c>
      <c r="T35" s="19">
        <v>3</v>
      </c>
      <c r="U35" s="19">
        <v>2</v>
      </c>
      <c r="V35" s="19">
        <v>1</v>
      </c>
      <c r="W35" s="19">
        <v>2</v>
      </c>
      <c r="X35" s="19">
        <v>2</v>
      </c>
      <c r="Y35" s="19">
        <v>2</v>
      </c>
      <c r="Z35" s="19">
        <v>1</v>
      </c>
      <c r="AA35" s="19">
        <v>3</v>
      </c>
      <c r="AB35" s="19">
        <v>1</v>
      </c>
      <c r="AC35" s="19">
        <v>3</v>
      </c>
      <c r="AD35" s="19">
        <v>3</v>
      </c>
      <c r="AE35" s="19">
        <v>2</v>
      </c>
      <c r="AF35" s="19">
        <v>1</v>
      </c>
      <c r="AG35" s="19">
        <v>3</v>
      </c>
      <c r="AH35" s="19">
        <v>3</v>
      </c>
      <c r="AI35" s="19">
        <v>2</v>
      </c>
      <c r="AJ35" s="19">
        <v>2</v>
      </c>
      <c r="AK35" s="19">
        <v>3</v>
      </c>
      <c r="AL35" s="19">
        <v>2</v>
      </c>
      <c r="AM35" s="19">
        <v>3</v>
      </c>
      <c r="AN35" s="19">
        <v>1</v>
      </c>
      <c r="AO35" s="19">
        <v>1</v>
      </c>
      <c r="AP35" s="19">
        <v>3</v>
      </c>
      <c r="AQ35" s="19">
        <v>2</v>
      </c>
      <c r="AR35" s="19">
        <v>1</v>
      </c>
      <c r="AS35" s="19">
        <v>2</v>
      </c>
      <c r="AT35" s="19">
        <v>3</v>
      </c>
      <c r="AU35" s="19">
        <v>1</v>
      </c>
      <c r="AV35" s="19">
        <v>2</v>
      </c>
      <c r="AW35" s="19">
        <v>2</v>
      </c>
      <c r="AX35" s="19">
        <v>2</v>
      </c>
      <c r="AY35" s="19">
        <v>3</v>
      </c>
      <c r="AZ35" s="19">
        <v>1</v>
      </c>
      <c r="BA35" s="19">
        <v>1</v>
      </c>
      <c r="BB35" s="19">
        <v>3</v>
      </c>
      <c r="BC35" s="19">
        <v>4</v>
      </c>
      <c r="BD35" s="19">
        <v>1</v>
      </c>
      <c r="BE35" s="19">
        <v>1</v>
      </c>
      <c r="BF35" s="19">
        <v>4</v>
      </c>
      <c r="BG35" s="19">
        <v>4</v>
      </c>
      <c r="BH35" s="19">
        <v>1</v>
      </c>
      <c r="BI35" s="19">
        <v>1</v>
      </c>
      <c r="BJ35" s="19">
        <v>3</v>
      </c>
      <c r="BK35" s="19">
        <v>1</v>
      </c>
      <c r="BL35" s="19">
        <v>3</v>
      </c>
      <c r="BM35" s="19">
        <v>1</v>
      </c>
      <c r="BN35" s="19">
        <v>1</v>
      </c>
      <c r="BO35" s="19">
        <v>3</v>
      </c>
      <c r="BP35" s="19">
        <v>5</v>
      </c>
      <c r="BQ35" s="19">
        <v>5</v>
      </c>
      <c r="BR35" s="19">
        <v>4</v>
      </c>
      <c r="BS35" s="19">
        <v>5</v>
      </c>
      <c r="BT35" s="19">
        <v>4</v>
      </c>
      <c r="BU35" s="19">
        <v>5</v>
      </c>
      <c r="BV35" s="19">
        <v>2</v>
      </c>
      <c r="BW35" s="19">
        <v>4</v>
      </c>
      <c r="BX35" s="19">
        <v>4</v>
      </c>
      <c r="BY35" s="19">
        <v>4</v>
      </c>
      <c r="BZ35" s="19">
        <v>5</v>
      </c>
      <c r="CA35" s="19">
        <v>5</v>
      </c>
      <c r="CB35" s="19">
        <v>5</v>
      </c>
      <c r="CC35" s="19">
        <v>5</v>
      </c>
      <c r="CD35" s="19">
        <v>5</v>
      </c>
      <c r="CE35" s="19">
        <v>4</v>
      </c>
      <c r="CF35" s="19">
        <v>5</v>
      </c>
      <c r="CG35" s="19">
        <v>3</v>
      </c>
      <c r="CH35" s="19">
        <v>4</v>
      </c>
      <c r="CI35" s="19">
        <v>4</v>
      </c>
      <c r="CJ35" s="19">
        <v>3</v>
      </c>
      <c r="CK35" s="19">
        <v>4</v>
      </c>
      <c r="CL35" s="19">
        <v>4</v>
      </c>
      <c r="CM35" s="19">
        <v>4</v>
      </c>
      <c r="CN35" s="19">
        <v>4</v>
      </c>
      <c r="CO35" s="19">
        <v>1</v>
      </c>
      <c r="CP35" s="19">
        <v>1</v>
      </c>
      <c r="CQ35" s="60">
        <v>1</v>
      </c>
      <c r="CR35" s="19">
        <v>1</v>
      </c>
      <c r="CS35" s="19">
        <v>0</v>
      </c>
      <c r="CT35" s="60">
        <v>1</v>
      </c>
      <c r="CU35" s="60">
        <v>0</v>
      </c>
      <c r="CV35" s="60">
        <v>0</v>
      </c>
      <c r="CW35" s="60">
        <v>0</v>
      </c>
      <c r="CX35" s="60">
        <v>0</v>
      </c>
      <c r="CY35" s="60">
        <v>0</v>
      </c>
      <c r="CZ35" s="19">
        <v>2</v>
      </c>
      <c r="DA35" s="19">
        <v>4</v>
      </c>
    </row>
    <row r="36" spans="1:105" s="34" customFormat="1">
      <c r="A36" s="40">
        <v>35</v>
      </c>
      <c r="B36" s="18">
        <v>185</v>
      </c>
      <c r="C36" s="19">
        <v>2</v>
      </c>
      <c r="D36" s="19">
        <v>2</v>
      </c>
      <c r="E36" s="19">
        <v>4</v>
      </c>
      <c r="F36" s="19">
        <v>1</v>
      </c>
      <c r="G36" s="19">
        <v>0</v>
      </c>
      <c r="H36" s="19">
        <v>1</v>
      </c>
      <c r="I36" s="19">
        <v>0</v>
      </c>
      <c r="J36" s="19">
        <v>0</v>
      </c>
      <c r="K36" s="19">
        <v>1</v>
      </c>
      <c r="L36" s="19">
        <v>5</v>
      </c>
      <c r="M36" s="19">
        <v>2</v>
      </c>
      <c r="N36" s="19">
        <v>5</v>
      </c>
      <c r="O36" s="19">
        <v>2</v>
      </c>
      <c r="P36" s="19">
        <v>3</v>
      </c>
      <c r="Q36" s="19">
        <v>3</v>
      </c>
      <c r="R36" s="19">
        <v>2</v>
      </c>
      <c r="S36" s="19">
        <v>3</v>
      </c>
      <c r="T36" s="19">
        <v>3</v>
      </c>
      <c r="U36" s="19">
        <v>3</v>
      </c>
      <c r="V36" s="19">
        <v>1</v>
      </c>
      <c r="W36" s="19">
        <v>2</v>
      </c>
      <c r="X36" s="19">
        <v>4</v>
      </c>
      <c r="Y36" s="19">
        <v>2</v>
      </c>
      <c r="Z36" s="19">
        <v>2</v>
      </c>
      <c r="AA36" s="19">
        <v>1</v>
      </c>
      <c r="AB36" s="19">
        <v>3</v>
      </c>
      <c r="AC36" s="19">
        <v>3</v>
      </c>
      <c r="AD36" s="19">
        <v>4</v>
      </c>
      <c r="AE36" s="19">
        <v>1</v>
      </c>
      <c r="AF36" s="19">
        <v>1</v>
      </c>
      <c r="AG36" s="19">
        <v>3</v>
      </c>
      <c r="AH36" s="19">
        <v>4</v>
      </c>
      <c r="AI36" s="19">
        <v>1</v>
      </c>
      <c r="AJ36" s="19">
        <v>1</v>
      </c>
      <c r="AK36" s="19">
        <v>3</v>
      </c>
      <c r="AL36" s="19">
        <v>2</v>
      </c>
      <c r="AM36" s="19">
        <v>1</v>
      </c>
      <c r="AN36" s="19">
        <v>1</v>
      </c>
      <c r="AO36" s="19">
        <v>4</v>
      </c>
      <c r="AP36" s="19">
        <v>2</v>
      </c>
      <c r="AQ36" s="19">
        <v>3</v>
      </c>
      <c r="AR36" s="19">
        <v>2</v>
      </c>
      <c r="AS36" s="19">
        <v>3</v>
      </c>
      <c r="AT36" s="19">
        <v>4</v>
      </c>
      <c r="AU36" s="19">
        <v>2</v>
      </c>
      <c r="AV36" s="19">
        <v>1</v>
      </c>
      <c r="AW36" s="19">
        <v>3</v>
      </c>
      <c r="AX36" s="19">
        <v>1</v>
      </c>
      <c r="AY36" s="19">
        <v>2</v>
      </c>
      <c r="AZ36" s="19">
        <v>1</v>
      </c>
      <c r="BA36" s="19">
        <v>3</v>
      </c>
      <c r="BB36" s="19">
        <v>4</v>
      </c>
      <c r="BC36" s="19">
        <v>4</v>
      </c>
      <c r="BD36" s="19">
        <v>3</v>
      </c>
      <c r="BE36" s="19">
        <v>1</v>
      </c>
      <c r="BF36" s="19">
        <v>3</v>
      </c>
      <c r="BG36" s="19">
        <v>5</v>
      </c>
      <c r="BH36" s="19">
        <v>2</v>
      </c>
      <c r="BI36" s="19">
        <v>1</v>
      </c>
      <c r="BJ36" s="19">
        <v>3</v>
      </c>
      <c r="BK36" s="19">
        <v>1</v>
      </c>
      <c r="BL36" s="19">
        <v>1</v>
      </c>
      <c r="BM36" s="19">
        <v>1</v>
      </c>
      <c r="BN36" s="19">
        <v>4</v>
      </c>
      <c r="BO36" s="19">
        <v>2</v>
      </c>
      <c r="BP36" s="19">
        <v>4</v>
      </c>
      <c r="BQ36" s="19">
        <v>4</v>
      </c>
      <c r="BR36" s="19">
        <v>4</v>
      </c>
      <c r="BS36" s="19">
        <v>5</v>
      </c>
      <c r="BT36" s="19">
        <v>5</v>
      </c>
      <c r="BU36" s="19">
        <v>5</v>
      </c>
      <c r="BV36" s="19">
        <v>2</v>
      </c>
      <c r="BW36" s="19">
        <v>5</v>
      </c>
      <c r="BX36" s="19">
        <v>5</v>
      </c>
      <c r="BY36" s="19">
        <v>5</v>
      </c>
      <c r="BZ36" s="19">
        <v>5</v>
      </c>
      <c r="CA36" s="19">
        <v>5</v>
      </c>
      <c r="CB36" s="19">
        <v>3</v>
      </c>
      <c r="CC36" s="19">
        <v>3</v>
      </c>
      <c r="CD36" s="19">
        <v>4</v>
      </c>
      <c r="CE36" s="19">
        <v>4</v>
      </c>
      <c r="CF36" s="19">
        <v>4</v>
      </c>
      <c r="CG36" s="19">
        <v>4</v>
      </c>
      <c r="CH36" s="19">
        <v>4</v>
      </c>
      <c r="CI36" s="19">
        <v>4</v>
      </c>
      <c r="CJ36" s="19">
        <v>4</v>
      </c>
      <c r="CK36" s="19">
        <v>4</v>
      </c>
      <c r="CL36" s="19">
        <v>4</v>
      </c>
      <c r="CM36" s="19">
        <v>4</v>
      </c>
      <c r="CN36" s="19">
        <v>4</v>
      </c>
      <c r="CO36" s="19">
        <v>1</v>
      </c>
      <c r="CP36" s="19">
        <v>1</v>
      </c>
      <c r="CQ36" s="60">
        <v>1</v>
      </c>
      <c r="CR36" s="19">
        <v>0</v>
      </c>
      <c r="CS36" s="19">
        <v>0</v>
      </c>
      <c r="CT36" s="60">
        <v>1</v>
      </c>
      <c r="CU36" s="60">
        <v>1</v>
      </c>
      <c r="CV36" s="60">
        <v>1</v>
      </c>
      <c r="CW36" s="60">
        <v>0</v>
      </c>
      <c r="CX36" s="60">
        <v>1</v>
      </c>
      <c r="CY36" s="60">
        <v>0</v>
      </c>
      <c r="CZ36" s="19">
        <v>3</v>
      </c>
      <c r="DA36" s="19">
        <v>5</v>
      </c>
    </row>
    <row r="37" spans="1:105" s="34" customFormat="1">
      <c r="A37" s="40">
        <v>36</v>
      </c>
      <c r="B37" s="18">
        <v>193</v>
      </c>
      <c r="C37" s="19">
        <v>1</v>
      </c>
      <c r="D37" s="19">
        <v>2</v>
      </c>
      <c r="E37" s="19">
        <v>3</v>
      </c>
      <c r="F37" s="19">
        <v>1</v>
      </c>
      <c r="G37" s="19">
        <v>0</v>
      </c>
      <c r="H37" s="19">
        <v>0</v>
      </c>
      <c r="I37" s="19">
        <v>0</v>
      </c>
      <c r="J37" s="19">
        <v>0</v>
      </c>
      <c r="K37" s="19">
        <v>3</v>
      </c>
      <c r="L37" s="19">
        <v>2</v>
      </c>
      <c r="M37" s="19">
        <v>1</v>
      </c>
      <c r="N37" s="19">
        <v>3</v>
      </c>
      <c r="O37" s="19">
        <v>2</v>
      </c>
      <c r="P37" s="19">
        <v>3</v>
      </c>
      <c r="Q37" s="19">
        <v>2</v>
      </c>
      <c r="R37" s="19">
        <v>3</v>
      </c>
      <c r="S37" s="19">
        <v>1</v>
      </c>
      <c r="T37" s="19">
        <v>2</v>
      </c>
      <c r="U37" s="19">
        <v>2</v>
      </c>
      <c r="V37" s="19">
        <v>3</v>
      </c>
      <c r="W37" s="19">
        <v>1</v>
      </c>
      <c r="X37" s="19">
        <v>2</v>
      </c>
      <c r="Y37" s="19">
        <v>2</v>
      </c>
      <c r="Z37" s="19">
        <v>4</v>
      </c>
      <c r="AA37" s="19">
        <v>1</v>
      </c>
      <c r="AB37" s="19">
        <v>2</v>
      </c>
      <c r="AC37" s="19">
        <v>3</v>
      </c>
      <c r="AD37" s="19">
        <v>1</v>
      </c>
      <c r="AE37" s="19">
        <v>3</v>
      </c>
      <c r="AF37" s="19">
        <v>1</v>
      </c>
      <c r="AG37" s="19">
        <v>2</v>
      </c>
      <c r="AH37" s="19">
        <v>2</v>
      </c>
      <c r="AI37" s="19">
        <v>3</v>
      </c>
      <c r="AJ37" s="19">
        <v>1</v>
      </c>
      <c r="AK37" s="19">
        <v>2</v>
      </c>
      <c r="AL37" s="19">
        <v>2</v>
      </c>
      <c r="AM37" s="19">
        <v>3</v>
      </c>
      <c r="AN37" s="19">
        <v>1</v>
      </c>
      <c r="AO37" s="19">
        <v>2</v>
      </c>
      <c r="AP37" s="19">
        <v>3</v>
      </c>
      <c r="AQ37" s="19">
        <v>4</v>
      </c>
      <c r="AR37" s="19">
        <v>1</v>
      </c>
      <c r="AS37" s="19">
        <v>2</v>
      </c>
      <c r="AT37" s="19">
        <v>2</v>
      </c>
      <c r="AU37" s="19">
        <v>3</v>
      </c>
      <c r="AV37" s="19">
        <v>1</v>
      </c>
      <c r="AW37" s="19">
        <v>2</v>
      </c>
      <c r="AX37" s="19">
        <v>2</v>
      </c>
      <c r="AY37" s="19">
        <v>3</v>
      </c>
      <c r="AZ37" s="19">
        <v>1</v>
      </c>
      <c r="BA37" s="19">
        <v>2</v>
      </c>
      <c r="BB37" s="19">
        <v>3</v>
      </c>
      <c r="BC37" s="19">
        <v>4</v>
      </c>
      <c r="BD37" s="19">
        <v>3</v>
      </c>
      <c r="BE37" s="19">
        <v>1</v>
      </c>
      <c r="BF37" s="19">
        <v>3</v>
      </c>
      <c r="BG37" s="19">
        <v>3</v>
      </c>
      <c r="BH37" s="19">
        <v>2</v>
      </c>
      <c r="BI37" s="19">
        <v>1</v>
      </c>
      <c r="BJ37" s="19">
        <v>3</v>
      </c>
      <c r="BK37" s="19">
        <v>2</v>
      </c>
      <c r="BL37" s="19">
        <v>2</v>
      </c>
      <c r="BM37" s="19">
        <v>1</v>
      </c>
      <c r="BN37" s="19">
        <v>3</v>
      </c>
      <c r="BO37" s="19">
        <v>3</v>
      </c>
      <c r="BP37" s="19">
        <v>4</v>
      </c>
      <c r="BQ37" s="19">
        <v>4</v>
      </c>
      <c r="BR37" s="19">
        <v>4</v>
      </c>
      <c r="BS37" s="19">
        <v>5</v>
      </c>
      <c r="BT37" s="19">
        <v>5</v>
      </c>
      <c r="BU37" s="19">
        <v>5</v>
      </c>
      <c r="BV37" s="19">
        <v>5</v>
      </c>
      <c r="BW37" s="19">
        <v>5</v>
      </c>
      <c r="BX37" s="19">
        <v>4</v>
      </c>
      <c r="BY37" s="19">
        <v>3</v>
      </c>
      <c r="BZ37" s="19">
        <v>4</v>
      </c>
      <c r="CA37" s="19">
        <v>5</v>
      </c>
      <c r="CB37" s="19">
        <v>3</v>
      </c>
      <c r="CC37" s="19">
        <v>3</v>
      </c>
      <c r="CD37" s="19">
        <v>4</v>
      </c>
      <c r="CE37" s="19">
        <v>4</v>
      </c>
      <c r="CF37" s="19">
        <v>3</v>
      </c>
      <c r="CG37" s="19">
        <v>4</v>
      </c>
      <c r="CH37" s="19">
        <v>4</v>
      </c>
      <c r="CI37" s="19">
        <v>5</v>
      </c>
      <c r="CJ37" s="19">
        <v>5</v>
      </c>
      <c r="CK37" s="19">
        <v>5</v>
      </c>
      <c r="CL37" s="19">
        <v>3</v>
      </c>
      <c r="CM37" s="19">
        <v>4</v>
      </c>
      <c r="CN37" s="19">
        <v>5</v>
      </c>
      <c r="CO37" s="19">
        <v>1</v>
      </c>
      <c r="CP37" s="19">
        <v>0</v>
      </c>
      <c r="CQ37" s="60">
        <v>1</v>
      </c>
      <c r="CR37" s="19">
        <v>0</v>
      </c>
      <c r="CS37" s="19">
        <v>0</v>
      </c>
      <c r="CT37" s="60">
        <v>1</v>
      </c>
      <c r="CU37" s="60">
        <v>1</v>
      </c>
      <c r="CV37" s="60">
        <v>1</v>
      </c>
      <c r="CW37" s="60">
        <v>0</v>
      </c>
      <c r="CX37" s="60">
        <v>1</v>
      </c>
      <c r="CY37" s="60">
        <v>1</v>
      </c>
      <c r="CZ37" s="19">
        <v>2</v>
      </c>
      <c r="DA37" s="19">
        <v>2</v>
      </c>
    </row>
    <row r="38" spans="1:105" s="34" customFormat="1">
      <c r="A38" s="40">
        <v>37</v>
      </c>
      <c r="B38" s="18">
        <v>170</v>
      </c>
      <c r="C38" s="19">
        <v>1</v>
      </c>
      <c r="D38" s="19">
        <v>2</v>
      </c>
      <c r="E38" s="19">
        <v>2</v>
      </c>
      <c r="F38" s="19">
        <v>1</v>
      </c>
      <c r="G38" s="19">
        <v>0</v>
      </c>
      <c r="H38" s="19">
        <v>1</v>
      </c>
      <c r="I38" s="19">
        <v>0</v>
      </c>
      <c r="J38" s="19">
        <v>0</v>
      </c>
      <c r="K38" s="19">
        <v>2</v>
      </c>
      <c r="L38" s="19">
        <v>4</v>
      </c>
      <c r="M38" s="19">
        <v>1</v>
      </c>
      <c r="N38" s="19">
        <v>4</v>
      </c>
      <c r="O38" s="19">
        <v>2</v>
      </c>
      <c r="P38" s="19">
        <v>4</v>
      </c>
      <c r="Q38" s="19">
        <v>3</v>
      </c>
      <c r="R38" s="19">
        <v>2</v>
      </c>
      <c r="S38" s="19">
        <v>2</v>
      </c>
      <c r="T38" s="19">
        <v>3</v>
      </c>
      <c r="U38" s="19">
        <v>3</v>
      </c>
      <c r="V38" s="19">
        <v>2</v>
      </c>
      <c r="W38" s="19">
        <v>1</v>
      </c>
      <c r="X38" s="19">
        <v>2</v>
      </c>
      <c r="Y38" s="19">
        <v>2</v>
      </c>
      <c r="Z38" s="19">
        <v>3</v>
      </c>
      <c r="AA38" s="19">
        <v>3</v>
      </c>
      <c r="AB38" s="19">
        <v>3</v>
      </c>
      <c r="AC38" s="19">
        <v>3</v>
      </c>
      <c r="AD38" s="19">
        <v>3</v>
      </c>
      <c r="AE38" s="19">
        <v>3</v>
      </c>
      <c r="AF38" s="19">
        <v>2</v>
      </c>
      <c r="AG38" s="19">
        <v>3</v>
      </c>
      <c r="AH38" s="19">
        <v>3</v>
      </c>
      <c r="AI38" s="19">
        <v>2</v>
      </c>
      <c r="AJ38" s="19">
        <v>2</v>
      </c>
      <c r="AK38" s="19">
        <v>2</v>
      </c>
      <c r="AL38" s="19">
        <v>1</v>
      </c>
      <c r="AM38" s="19">
        <v>1</v>
      </c>
      <c r="AN38" s="19">
        <v>1</v>
      </c>
      <c r="AO38" s="19">
        <v>3</v>
      </c>
      <c r="AP38" s="19">
        <v>3</v>
      </c>
      <c r="AQ38" s="19">
        <v>4</v>
      </c>
      <c r="AR38" s="19">
        <v>2</v>
      </c>
      <c r="AS38" s="19">
        <v>2</v>
      </c>
      <c r="AT38" s="19">
        <v>3</v>
      </c>
      <c r="AU38" s="19">
        <v>2</v>
      </c>
      <c r="AV38" s="19">
        <v>2</v>
      </c>
      <c r="AW38" s="19">
        <v>2</v>
      </c>
      <c r="AX38" s="19">
        <v>1</v>
      </c>
      <c r="AY38" s="19">
        <v>3</v>
      </c>
      <c r="AZ38" s="19">
        <v>2</v>
      </c>
      <c r="BA38" s="19">
        <v>3</v>
      </c>
      <c r="BB38" s="19">
        <v>3</v>
      </c>
      <c r="BC38" s="19">
        <v>3</v>
      </c>
      <c r="BD38" s="19">
        <v>1</v>
      </c>
      <c r="BE38" s="19">
        <v>1</v>
      </c>
      <c r="BF38" s="19">
        <v>3</v>
      </c>
      <c r="BG38" s="19">
        <v>3</v>
      </c>
      <c r="BH38" s="19">
        <v>1</v>
      </c>
      <c r="BI38" s="19">
        <v>1</v>
      </c>
      <c r="BJ38" s="19">
        <v>3</v>
      </c>
      <c r="BK38" s="19">
        <v>2</v>
      </c>
      <c r="BL38" s="19">
        <v>1</v>
      </c>
      <c r="BM38" s="19">
        <v>1</v>
      </c>
      <c r="BN38" s="19">
        <v>3</v>
      </c>
      <c r="BO38" s="19">
        <v>3</v>
      </c>
      <c r="BP38" s="19">
        <v>4</v>
      </c>
      <c r="BQ38" s="19">
        <v>4</v>
      </c>
      <c r="BR38" s="19">
        <v>4</v>
      </c>
      <c r="BS38" s="19">
        <v>4</v>
      </c>
      <c r="BT38" s="19">
        <v>4</v>
      </c>
      <c r="BU38" s="19">
        <v>4</v>
      </c>
      <c r="BV38" s="19">
        <v>3</v>
      </c>
      <c r="BW38" s="19">
        <v>4</v>
      </c>
      <c r="BX38" s="19">
        <v>4</v>
      </c>
      <c r="BY38" s="19">
        <v>4</v>
      </c>
      <c r="BZ38" s="19">
        <v>5</v>
      </c>
      <c r="CA38" s="19">
        <v>4</v>
      </c>
      <c r="CB38" s="19">
        <v>3</v>
      </c>
      <c r="CC38" s="19">
        <v>5</v>
      </c>
      <c r="CD38" s="19">
        <v>4</v>
      </c>
      <c r="CE38" s="19">
        <v>4</v>
      </c>
      <c r="CF38" s="19">
        <v>4</v>
      </c>
      <c r="CG38" s="19">
        <v>4</v>
      </c>
      <c r="CH38" s="19">
        <v>4</v>
      </c>
      <c r="CI38" s="19">
        <v>4</v>
      </c>
      <c r="CJ38" s="19">
        <v>4</v>
      </c>
      <c r="CK38" s="19">
        <v>4</v>
      </c>
      <c r="CL38" s="19">
        <v>4</v>
      </c>
      <c r="CM38" s="19">
        <v>4</v>
      </c>
      <c r="CN38" s="19">
        <v>4</v>
      </c>
      <c r="CO38" s="19">
        <v>1</v>
      </c>
      <c r="CP38" s="19">
        <v>1</v>
      </c>
      <c r="CQ38" s="60">
        <v>1</v>
      </c>
      <c r="CR38" s="19">
        <v>1</v>
      </c>
      <c r="CS38" s="19">
        <v>0</v>
      </c>
      <c r="CT38" s="60">
        <v>1</v>
      </c>
      <c r="CU38" s="60">
        <v>0</v>
      </c>
      <c r="CV38" s="60">
        <v>1</v>
      </c>
      <c r="CW38" s="60">
        <v>0</v>
      </c>
      <c r="CX38" s="60">
        <v>1</v>
      </c>
      <c r="CY38" s="60">
        <v>0</v>
      </c>
      <c r="CZ38" s="19">
        <v>4</v>
      </c>
      <c r="DA38" s="19">
        <v>4</v>
      </c>
    </row>
    <row r="39" spans="1:105" s="34" customFormat="1">
      <c r="A39" s="40">
        <v>38</v>
      </c>
      <c r="B39" s="18">
        <v>155</v>
      </c>
      <c r="C39" s="19">
        <v>1</v>
      </c>
      <c r="D39" s="19">
        <v>1</v>
      </c>
      <c r="E39" s="19">
        <v>1</v>
      </c>
      <c r="F39" s="19">
        <v>0</v>
      </c>
      <c r="G39" s="19">
        <v>0</v>
      </c>
      <c r="H39" s="19">
        <v>0</v>
      </c>
      <c r="I39" s="19">
        <v>1</v>
      </c>
      <c r="J39" s="19">
        <v>0</v>
      </c>
      <c r="K39" s="19">
        <v>1</v>
      </c>
      <c r="L39" s="19">
        <v>1</v>
      </c>
      <c r="M39" s="19">
        <v>1</v>
      </c>
      <c r="N39" s="19">
        <v>2</v>
      </c>
      <c r="O39" s="19">
        <v>1</v>
      </c>
      <c r="P39" s="19">
        <v>2</v>
      </c>
      <c r="Q39" s="19">
        <v>2</v>
      </c>
      <c r="R39" s="19">
        <v>4</v>
      </c>
      <c r="S39" s="19">
        <v>3</v>
      </c>
      <c r="T39" s="19">
        <v>1</v>
      </c>
      <c r="U39" s="19">
        <v>2</v>
      </c>
      <c r="V39" s="19">
        <v>4</v>
      </c>
      <c r="W39" s="19">
        <v>3</v>
      </c>
      <c r="X39" s="19">
        <v>2</v>
      </c>
      <c r="Y39" s="19">
        <v>1</v>
      </c>
      <c r="Z39" s="19">
        <v>3</v>
      </c>
      <c r="AA39" s="19">
        <v>3</v>
      </c>
      <c r="AB39" s="19">
        <v>2</v>
      </c>
      <c r="AC39" s="19">
        <v>1</v>
      </c>
      <c r="AD39" s="19">
        <v>1</v>
      </c>
      <c r="AE39" s="19">
        <v>5</v>
      </c>
      <c r="AF39" s="19">
        <v>2</v>
      </c>
      <c r="AG39" s="19">
        <v>1</v>
      </c>
      <c r="AH39" s="19">
        <v>1</v>
      </c>
      <c r="AI39" s="19">
        <v>5</v>
      </c>
      <c r="AJ39" s="19">
        <v>3</v>
      </c>
      <c r="AK39" s="19">
        <v>2</v>
      </c>
      <c r="AL39" s="19">
        <v>1</v>
      </c>
      <c r="AM39" s="19">
        <v>4</v>
      </c>
      <c r="AN39" s="19">
        <v>2</v>
      </c>
      <c r="AO39" s="19">
        <v>2</v>
      </c>
      <c r="AP39" s="19">
        <v>2</v>
      </c>
      <c r="AQ39" s="19">
        <v>5</v>
      </c>
      <c r="AR39" s="19">
        <v>3</v>
      </c>
      <c r="AS39" s="19">
        <v>2</v>
      </c>
      <c r="AT39" s="19">
        <v>2</v>
      </c>
      <c r="AU39" s="19">
        <v>5</v>
      </c>
      <c r="AV39" s="19">
        <v>2</v>
      </c>
      <c r="AW39" s="19">
        <v>1</v>
      </c>
      <c r="AX39" s="19">
        <v>1</v>
      </c>
      <c r="AY39" s="19">
        <v>5</v>
      </c>
      <c r="AZ39" s="19">
        <v>2</v>
      </c>
      <c r="BA39" s="19">
        <v>2</v>
      </c>
      <c r="BB39" s="19">
        <v>1</v>
      </c>
      <c r="BC39" s="19">
        <v>3</v>
      </c>
      <c r="BD39" s="19">
        <v>3</v>
      </c>
      <c r="BE39" s="19">
        <v>2</v>
      </c>
      <c r="BF39" s="19">
        <v>3</v>
      </c>
      <c r="BG39" s="19">
        <v>2</v>
      </c>
      <c r="BH39" s="19">
        <v>3</v>
      </c>
      <c r="BI39" s="19">
        <v>1</v>
      </c>
      <c r="BJ39" s="19">
        <v>3</v>
      </c>
      <c r="BK39" s="19">
        <v>2</v>
      </c>
      <c r="BL39" s="19">
        <v>3</v>
      </c>
      <c r="BM39" s="19">
        <v>2</v>
      </c>
      <c r="BN39" s="19">
        <v>2</v>
      </c>
      <c r="BO39" s="19">
        <v>1</v>
      </c>
      <c r="BP39" s="19">
        <v>4</v>
      </c>
      <c r="BQ39" s="19">
        <v>3</v>
      </c>
      <c r="BR39" s="19">
        <v>3</v>
      </c>
      <c r="BS39" s="19">
        <v>2</v>
      </c>
      <c r="BT39" s="19">
        <v>5</v>
      </c>
      <c r="BU39" s="19">
        <v>4</v>
      </c>
      <c r="BV39" s="19">
        <v>3</v>
      </c>
      <c r="BW39" s="19">
        <v>3</v>
      </c>
      <c r="BX39" s="19">
        <v>3</v>
      </c>
      <c r="BY39" s="19">
        <v>4</v>
      </c>
      <c r="BZ39" s="19">
        <v>4</v>
      </c>
      <c r="CA39" s="19">
        <v>4</v>
      </c>
      <c r="CB39" s="19">
        <v>3</v>
      </c>
      <c r="CC39" s="19">
        <v>3</v>
      </c>
      <c r="CD39" s="19">
        <v>5</v>
      </c>
      <c r="CE39" s="19">
        <v>3</v>
      </c>
      <c r="CF39" s="19">
        <v>2</v>
      </c>
      <c r="CG39" s="19">
        <v>4</v>
      </c>
      <c r="CH39" s="19">
        <v>4</v>
      </c>
      <c r="CI39" s="19">
        <v>4</v>
      </c>
      <c r="CJ39" s="19">
        <v>4</v>
      </c>
      <c r="CK39" s="19">
        <v>4</v>
      </c>
      <c r="CL39" s="19">
        <v>4</v>
      </c>
      <c r="CM39" s="19">
        <v>4</v>
      </c>
      <c r="CN39" s="19">
        <v>4</v>
      </c>
      <c r="CO39" s="19">
        <v>1</v>
      </c>
      <c r="CP39" s="19">
        <v>0</v>
      </c>
      <c r="CQ39" s="60">
        <v>0</v>
      </c>
      <c r="CR39" s="19">
        <v>0</v>
      </c>
      <c r="CS39" s="19">
        <v>1</v>
      </c>
      <c r="CT39" s="60">
        <v>1</v>
      </c>
      <c r="CU39" s="60">
        <v>0</v>
      </c>
      <c r="CV39" s="60">
        <v>1</v>
      </c>
      <c r="CW39" s="60">
        <v>1</v>
      </c>
      <c r="CX39" s="60">
        <v>1</v>
      </c>
      <c r="CY39" s="60">
        <v>1</v>
      </c>
      <c r="CZ39" s="19">
        <v>5</v>
      </c>
      <c r="DA39" s="19">
        <v>2</v>
      </c>
    </row>
    <row r="40" spans="1:105" s="34" customFormat="1">
      <c r="A40" s="40">
        <v>39</v>
      </c>
      <c r="B40" s="18">
        <v>186</v>
      </c>
      <c r="C40" s="19">
        <v>2</v>
      </c>
      <c r="D40" s="19">
        <v>2</v>
      </c>
      <c r="E40" s="19">
        <v>2</v>
      </c>
      <c r="F40" s="19">
        <v>1</v>
      </c>
      <c r="G40" s="19">
        <v>1</v>
      </c>
      <c r="H40" s="19">
        <v>1</v>
      </c>
      <c r="I40" s="19">
        <v>0</v>
      </c>
      <c r="J40" s="19">
        <v>0</v>
      </c>
      <c r="K40" s="19">
        <v>2</v>
      </c>
      <c r="L40" s="19">
        <v>2</v>
      </c>
      <c r="M40" s="19">
        <v>2</v>
      </c>
      <c r="N40" s="19">
        <v>4</v>
      </c>
      <c r="O40" s="19">
        <v>2</v>
      </c>
      <c r="P40" s="19">
        <v>1</v>
      </c>
      <c r="Q40" s="19">
        <v>2</v>
      </c>
      <c r="R40" s="19">
        <v>2</v>
      </c>
      <c r="S40" s="19">
        <v>1</v>
      </c>
      <c r="T40" s="19">
        <v>2</v>
      </c>
      <c r="U40" s="19">
        <v>2</v>
      </c>
      <c r="V40" s="19">
        <v>2</v>
      </c>
      <c r="W40" s="19">
        <v>1</v>
      </c>
      <c r="X40" s="19">
        <v>1</v>
      </c>
      <c r="Y40" s="19">
        <v>1</v>
      </c>
      <c r="Z40" s="19">
        <v>2</v>
      </c>
      <c r="AA40" s="19">
        <v>1</v>
      </c>
      <c r="AB40" s="19">
        <v>0</v>
      </c>
      <c r="AC40" s="19">
        <v>1</v>
      </c>
      <c r="AD40" s="19">
        <v>2</v>
      </c>
      <c r="AE40" s="19">
        <v>3</v>
      </c>
      <c r="AF40" s="19">
        <v>1</v>
      </c>
      <c r="AG40" s="19">
        <v>1</v>
      </c>
      <c r="AH40" s="19">
        <v>1</v>
      </c>
      <c r="AI40" s="19">
        <v>2</v>
      </c>
      <c r="AJ40" s="19">
        <v>1</v>
      </c>
      <c r="AK40" s="19">
        <v>1</v>
      </c>
      <c r="AL40" s="19">
        <v>1</v>
      </c>
      <c r="AM40" s="19">
        <v>2</v>
      </c>
      <c r="AN40" s="19">
        <v>2</v>
      </c>
      <c r="AO40" s="19">
        <v>1</v>
      </c>
      <c r="AP40" s="19">
        <v>4</v>
      </c>
      <c r="AQ40" s="19">
        <v>3</v>
      </c>
      <c r="AR40" s="19">
        <v>1</v>
      </c>
      <c r="AS40" s="19">
        <v>2</v>
      </c>
      <c r="AT40" s="19">
        <v>2</v>
      </c>
      <c r="AU40" s="19">
        <v>2</v>
      </c>
      <c r="AV40" s="19">
        <v>1</v>
      </c>
      <c r="AW40" s="19">
        <v>1</v>
      </c>
      <c r="AX40" s="19">
        <v>1</v>
      </c>
      <c r="AY40" s="19">
        <v>2</v>
      </c>
      <c r="AZ40" s="19">
        <v>1</v>
      </c>
      <c r="BA40" s="19">
        <v>2</v>
      </c>
      <c r="BB40" s="19">
        <v>3</v>
      </c>
      <c r="BC40" s="19">
        <v>4</v>
      </c>
      <c r="BD40" s="19">
        <v>2</v>
      </c>
      <c r="BE40" s="19">
        <v>1</v>
      </c>
      <c r="BF40" s="19">
        <v>1</v>
      </c>
      <c r="BG40" s="19">
        <v>2</v>
      </c>
      <c r="BH40" s="19">
        <v>1</v>
      </c>
      <c r="BI40" s="19">
        <v>1</v>
      </c>
      <c r="BJ40" s="19">
        <v>1</v>
      </c>
      <c r="BK40" s="19">
        <v>1</v>
      </c>
      <c r="BL40" s="19">
        <v>1</v>
      </c>
      <c r="BM40" s="19">
        <v>1</v>
      </c>
      <c r="BN40" s="19">
        <v>1</v>
      </c>
      <c r="BO40" s="19">
        <v>2</v>
      </c>
      <c r="BP40" s="19">
        <v>4</v>
      </c>
      <c r="BQ40" s="19">
        <v>4</v>
      </c>
      <c r="BR40" s="19">
        <v>4</v>
      </c>
      <c r="BS40" s="19">
        <v>5</v>
      </c>
      <c r="BT40" s="19">
        <v>4</v>
      </c>
      <c r="BU40" s="19">
        <v>4</v>
      </c>
      <c r="BV40" s="19">
        <v>3</v>
      </c>
      <c r="BW40" s="19">
        <v>4</v>
      </c>
      <c r="BX40" s="19">
        <v>4</v>
      </c>
      <c r="BY40" s="19">
        <v>4</v>
      </c>
      <c r="BZ40" s="19">
        <v>4</v>
      </c>
      <c r="CA40" s="19">
        <v>4</v>
      </c>
      <c r="CB40" s="19">
        <v>4</v>
      </c>
      <c r="CC40" s="19">
        <v>3</v>
      </c>
      <c r="CD40" s="19">
        <v>4</v>
      </c>
      <c r="CE40" s="19">
        <v>3</v>
      </c>
      <c r="CF40" s="19">
        <v>4</v>
      </c>
      <c r="CG40" s="19">
        <v>4</v>
      </c>
      <c r="CH40" s="19">
        <v>4</v>
      </c>
      <c r="CI40" s="19">
        <v>5</v>
      </c>
      <c r="CJ40" s="19">
        <v>4</v>
      </c>
      <c r="CK40" s="19">
        <v>4</v>
      </c>
      <c r="CL40" s="19">
        <v>4</v>
      </c>
      <c r="CM40" s="19">
        <v>4</v>
      </c>
      <c r="CN40" s="19">
        <v>4</v>
      </c>
      <c r="CO40" s="19">
        <v>1</v>
      </c>
      <c r="CP40" s="19">
        <v>0</v>
      </c>
      <c r="CQ40" s="60">
        <v>1</v>
      </c>
      <c r="CR40" s="19">
        <v>0</v>
      </c>
      <c r="CS40" s="19">
        <v>0</v>
      </c>
      <c r="CT40" s="60">
        <v>1</v>
      </c>
      <c r="CU40" s="60">
        <v>0</v>
      </c>
      <c r="CV40" s="60">
        <v>1</v>
      </c>
      <c r="CW40" s="60">
        <v>0</v>
      </c>
      <c r="CX40" s="60">
        <v>1</v>
      </c>
      <c r="CY40" s="60">
        <v>0</v>
      </c>
      <c r="CZ40" s="19">
        <v>3</v>
      </c>
      <c r="DA40" s="19">
        <v>2</v>
      </c>
    </row>
    <row r="41" spans="1:105" s="34" customFormat="1">
      <c r="A41" s="40">
        <v>40</v>
      </c>
      <c r="B41" s="18">
        <v>194</v>
      </c>
      <c r="C41" s="19">
        <v>1</v>
      </c>
      <c r="D41" s="19">
        <v>1</v>
      </c>
      <c r="E41" s="19">
        <v>2</v>
      </c>
      <c r="F41" s="19">
        <v>0</v>
      </c>
      <c r="G41" s="19">
        <v>0</v>
      </c>
      <c r="H41" s="19">
        <v>1</v>
      </c>
      <c r="I41" s="19">
        <v>0</v>
      </c>
      <c r="J41" s="19">
        <v>0</v>
      </c>
      <c r="K41" s="19">
        <v>2</v>
      </c>
      <c r="L41" s="19">
        <v>2</v>
      </c>
      <c r="M41" s="19">
        <v>2</v>
      </c>
      <c r="N41" s="19">
        <v>2</v>
      </c>
      <c r="O41" s="19">
        <v>3</v>
      </c>
      <c r="P41" s="19">
        <v>2</v>
      </c>
      <c r="Q41" s="19">
        <v>1</v>
      </c>
      <c r="R41" s="19">
        <v>1</v>
      </c>
      <c r="S41" s="19">
        <v>2</v>
      </c>
      <c r="T41" s="19">
        <v>2</v>
      </c>
      <c r="U41" s="19">
        <v>2</v>
      </c>
      <c r="V41" s="19">
        <v>2</v>
      </c>
      <c r="W41" s="19">
        <v>1</v>
      </c>
      <c r="X41" s="19">
        <v>2</v>
      </c>
      <c r="Y41" s="19">
        <v>2</v>
      </c>
      <c r="Z41" s="19">
        <v>2</v>
      </c>
      <c r="AA41" s="19">
        <v>1</v>
      </c>
      <c r="AB41" s="19">
        <v>1</v>
      </c>
      <c r="AC41" s="19">
        <v>4</v>
      </c>
      <c r="AD41" s="19">
        <v>1</v>
      </c>
      <c r="AE41" s="19">
        <v>1</v>
      </c>
      <c r="AF41" s="19">
        <v>1</v>
      </c>
      <c r="AG41" s="19">
        <v>1</v>
      </c>
      <c r="AH41" s="19">
        <v>1</v>
      </c>
      <c r="AI41" s="19">
        <v>1</v>
      </c>
      <c r="AJ41" s="19">
        <v>1</v>
      </c>
      <c r="AK41" s="19">
        <v>1</v>
      </c>
      <c r="AL41" s="19">
        <v>1</v>
      </c>
      <c r="AM41" s="19">
        <v>1</v>
      </c>
      <c r="AN41" s="19">
        <v>1</v>
      </c>
      <c r="AO41" s="19">
        <v>1</v>
      </c>
      <c r="AP41" s="19">
        <v>1</v>
      </c>
      <c r="AQ41" s="19">
        <v>1</v>
      </c>
      <c r="AR41" s="19">
        <v>1</v>
      </c>
      <c r="AS41" s="19">
        <v>1</v>
      </c>
      <c r="AT41" s="19">
        <v>1</v>
      </c>
      <c r="AU41" s="19">
        <v>1</v>
      </c>
      <c r="AV41" s="19">
        <v>1</v>
      </c>
      <c r="AW41" s="19">
        <v>1</v>
      </c>
      <c r="AX41" s="19">
        <v>1</v>
      </c>
      <c r="AY41" s="19">
        <v>1</v>
      </c>
      <c r="AZ41" s="19">
        <v>1</v>
      </c>
      <c r="BA41" s="19">
        <v>1</v>
      </c>
      <c r="BB41" s="19">
        <v>4</v>
      </c>
      <c r="BC41" s="19">
        <v>1</v>
      </c>
      <c r="BD41" s="19">
        <v>1</v>
      </c>
      <c r="BE41" s="19">
        <v>1</v>
      </c>
      <c r="BF41" s="19">
        <v>1</v>
      </c>
      <c r="BG41" s="19">
        <v>1</v>
      </c>
      <c r="BH41" s="19">
        <v>1</v>
      </c>
      <c r="BI41" s="19">
        <v>1</v>
      </c>
      <c r="BJ41" s="19">
        <v>1</v>
      </c>
      <c r="BK41" s="19">
        <v>1</v>
      </c>
      <c r="BL41" s="19">
        <v>1</v>
      </c>
      <c r="BM41" s="19">
        <v>1</v>
      </c>
      <c r="BN41" s="19">
        <v>1</v>
      </c>
      <c r="BO41" s="19">
        <v>4</v>
      </c>
      <c r="BP41" s="19">
        <v>1</v>
      </c>
      <c r="BQ41" s="19">
        <v>1</v>
      </c>
      <c r="BR41" s="19">
        <v>1</v>
      </c>
      <c r="BS41" s="19">
        <v>1</v>
      </c>
      <c r="BT41" s="19">
        <v>1</v>
      </c>
      <c r="BU41" s="19">
        <v>1</v>
      </c>
      <c r="BV41" s="19">
        <v>1</v>
      </c>
      <c r="BW41" s="19">
        <v>1</v>
      </c>
      <c r="BX41" s="19">
        <v>1</v>
      </c>
      <c r="BY41" s="19">
        <v>1</v>
      </c>
      <c r="BZ41" s="19">
        <v>1</v>
      </c>
      <c r="CA41" s="19">
        <v>2</v>
      </c>
      <c r="CB41" s="19">
        <v>4</v>
      </c>
      <c r="CC41" s="19">
        <v>4</v>
      </c>
      <c r="CD41" s="19">
        <v>4</v>
      </c>
      <c r="CE41" s="19">
        <v>4</v>
      </c>
      <c r="CF41" s="19">
        <v>4</v>
      </c>
      <c r="CG41" s="19">
        <v>4</v>
      </c>
      <c r="CH41" s="19">
        <v>4</v>
      </c>
      <c r="CI41" s="19">
        <v>4</v>
      </c>
      <c r="CJ41" s="19">
        <v>4</v>
      </c>
      <c r="CK41" s="19">
        <v>4</v>
      </c>
      <c r="CL41" s="19">
        <v>4</v>
      </c>
      <c r="CM41" s="19">
        <v>4</v>
      </c>
      <c r="CN41" s="19">
        <v>4</v>
      </c>
      <c r="CO41" s="19">
        <v>1</v>
      </c>
      <c r="CP41" s="19">
        <v>0</v>
      </c>
      <c r="CQ41" s="60">
        <v>0</v>
      </c>
      <c r="CR41" s="19">
        <v>0</v>
      </c>
      <c r="CS41" s="19">
        <v>0</v>
      </c>
      <c r="CT41" s="60">
        <v>1</v>
      </c>
      <c r="CU41" s="60">
        <v>0</v>
      </c>
      <c r="CV41" s="60">
        <v>0</v>
      </c>
      <c r="CW41" s="60">
        <v>1</v>
      </c>
      <c r="CX41" s="60">
        <v>0</v>
      </c>
      <c r="CY41" s="60">
        <v>1</v>
      </c>
      <c r="CZ41" s="19">
        <v>2</v>
      </c>
      <c r="DA41" s="19">
        <v>3</v>
      </c>
    </row>
    <row r="42" spans="1:105" s="34" customFormat="1">
      <c r="A42" s="40">
        <v>41</v>
      </c>
      <c r="B42" s="18">
        <v>179</v>
      </c>
      <c r="C42" s="19">
        <v>1</v>
      </c>
      <c r="D42" s="19">
        <v>1</v>
      </c>
      <c r="E42" s="19">
        <v>2</v>
      </c>
      <c r="F42" s="19">
        <v>0</v>
      </c>
      <c r="G42" s="19">
        <v>0</v>
      </c>
      <c r="H42" s="19">
        <v>1</v>
      </c>
      <c r="I42" s="19">
        <v>0</v>
      </c>
      <c r="J42" s="19">
        <v>0</v>
      </c>
      <c r="K42" s="19">
        <v>1</v>
      </c>
      <c r="L42" s="19">
        <v>3</v>
      </c>
      <c r="M42" s="19">
        <v>1</v>
      </c>
      <c r="N42" s="19">
        <v>3</v>
      </c>
      <c r="O42" s="19">
        <v>2</v>
      </c>
      <c r="P42" s="19">
        <v>1</v>
      </c>
      <c r="Q42" s="19">
        <v>1</v>
      </c>
      <c r="R42" s="19">
        <v>1</v>
      </c>
      <c r="S42" s="19">
        <v>1</v>
      </c>
      <c r="T42" s="19">
        <v>5</v>
      </c>
      <c r="U42" s="19">
        <v>1</v>
      </c>
      <c r="V42" s="19">
        <v>1</v>
      </c>
      <c r="W42" s="19">
        <v>5</v>
      </c>
      <c r="X42" s="19">
        <v>5</v>
      </c>
      <c r="Y42" s="19">
        <v>1</v>
      </c>
      <c r="Z42" s="19">
        <v>1</v>
      </c>
      <c r="AA42" s="19">
        <v>5</v>
      </c>
      <c r="AB42" s="19">
        <v>5</v>
      </c>
      <c r="AC42" s="19">
        <v>2</v>
      </c>
      <c r="AD42" s="19">
        <v>2</v>
      </c>
      <c r="AE42" s="19">
        <v>1</v>
      </c>
      <c r="AF42" s="19">
        <v>1</v>
      </c>
      <c r="AG42" s="19">
        <v>5</v>
      </c>
      <c r="AH42" s="19">
        <v>1</v>
      </c>
      <c r="AI42" s="19">
        <v>1</v>
      </c>
      <c r="AJ42" s="19">
        <v>1</v>
      </c>
      <c r="AK42" s="19">
        <v>5</v>
      </c>
      <c r="AL42" s="19">
        <v>1</v>
      </c>
      <c r="AM42" s="19">
        <v>1</v>
      </c>
      <c r="AN42" s="19">
        <v>1</v>
      </c>
      <c r="AO42" s="19">
        <v>5</v>
      </c>
      <c r="AP42" s="19">
        <v>1</v>
      </c>
      <c r="AQ42" s="19">
        <v>1</v>
      </c>
      <c r="AR42" s="19">
        <v>3</v>
      </c>
      <c r="AS42" s="19">
        <v>5</v>
      </c>
      <c r="AT42" s="19">
        <v>1</v>
      </c>
      <c r="AU42" s="19">
        <v>1</v>
      </c>
      <c r="AV42" s="19">
        <v>1</v>
      </c>
      <c r="AW42" s="19">
        <v>5</v>
      </c>
      <c r="AX42" s="19">
        <v>1</v>
      </c>
      <c r="AY42" s="19">
        <v>1</v>
      </c>
      <c r="AZ42" s="19">
        <v>1</v>
      </c>
      <c r="BA42" s="19">
        <v>5</v>
      </c>
      <c r="BB42" s="19">
        <v>3</v>
      </c>
      <c r="BC42" s="19">
        <v>2</v>
      </c>
      <c r="BD42" s="19">
        <v>2</v>
      </c>
      <c r="BE42" s="19">
        <v>1</v>
      </c>
      <c r="BF42" s="19">
        <v>5</v>
      </c>
      <c r="BG42" s="19">
        <v>1</v>
      </c>
      <c r="BH42" s="19">
        <v>1</v>
      </c>
      <c r="BI42" s="19">
        <v>1</v>
      </c>
      <c r="BJ42" s="19">
        <v>5</v>
      </c>
      <c r="BK42" s="19">
        <v>1</v>
      </c>
      <c r="BL42" s="19">
        <v>1</v>
      </c>
      <c r="BM42" s="19">
        <v>1</v>
      </c>
      <c r="BN42" s="19">
        <v>5</v>
      </c>
      <c r="BO42" s="19">
        <v>3</v>
      </c>
      <c r="BP42" s="19">
        <v>1</v>
      </c>
      <c r="BQ42" s="19">
        <v>1</v>
      </c>
      <c r="BR42" s="19">
        <v>1</v>
      </c>
      <c r="BS42" s="19">
        <v>1</v>
      </c>
      <c r="BT42" s="19">
        <v>1</v>
      </c>
      <c r="BU42" s="19">
        <v>1</v>
      </c>
      <c r="BV42" s="19">
        <v>1</v>
      </c>
      <c r="BW42" s="19">
        <v>1</v>
      </c>
      <c r="BX42" s="19">
        <v>1</v>
      </c>
      <c r="BY42" s="19">
        <v>1</v>
      </c>
      <c r="BZ42" s="19">
        <v>1</v>
      </c>
      <c r="CA42" s="19">
        <v>1</v>
      </c>
      <c r="CB42" s="19">
        <v>1</v>
      </c>
      <c r="CC42" s="19">
        <v>1</v>
      </c>
      <c r="CD42" s="19">
        <v>1</v>
      </c>
      <c r="CE42" s="19">
        <v>1</v>
      </c>
      <c r="CF42" s="19">
        <v>1</v>
      </c>
      <c r="CG42" s="19">
        <v>1</v>
      </c>
      <c r="CH42" s="19">
        <v>1</v>
      </c>
      <c r="CI42" s="19">
        <v>1</v>
      </c>
      <c r="CJ42" s="19">
        <v>1</v>
      </c>
      <c r="CK42" s="19">
        <v>1</v>
      </c>
      <c r="CL42" s="19">
        <v>1</v>
      </c>
      <c r="CM42" s="19">
        <v>1</v>
      </c>
      <c r="CN42" s="19">
        <v>1</v>
      </c>
      <c r="CO42" s="19">
        <v>1</v>
      </c>
      <c r="CP42" s="19">
        <v>0</v>
      </c>
      <c r="CQ42" s="60">
        <v>0</v>
      </c>
      <c r="CR42" s="19">
        <v>0</v>
      </c>
      <c r="CS42" s="19">
        <v>0</v>
      </c>
      <c r="CT42" s="60">
        <v>0</v>
      </c>
      <c r="CU42" s="60">
        <v>0</v>
      </c>
      <c r="CV42" s="60">
        <v>0</v>
      </c>
      <c r="CW42" s="60">
        <v>0</v>
      </c>
      <c r="CX42" s="60">
        <v>1</v>
      </c>
      <c r="CY42" s="60">
        <v>0</v>
      </c>
      <c r="CZ42" s="19">
        <v>2</v>
      </c>
      <c r="DA42" s="19">
        <v>5</v>
      </c>
    </row>
    <row r="43" spans="1:105" s="34" customFormat="1">
      <c r="A43" s="40">
        <v>42</v>
      </c>
      <c r="B43" s="18">
        <v>188</v>
      </c>
      <c r="C43" s="19">
        <v>2</v>
      </c>
      <c r="D43" s="19">
        <v>2</v>
      </c>
      <c r="E43" s="19">
        <v>2</v>
      </c>
      <c r="F43" s="19">
        <v>0</v>
      </c>
      <c r="G43" s="19">
        <v>0</v>
      </c>
      <c r="H43" s="19">
        <v>1</v>
      </c>
      <c r="I43" s="19">
        <v>1</v>
      </c>
      <c r="J43" s="19">
        <v>0</v>
      </c>
      <c r="K43" s="19">
        <v>1</v>
      </c>
      <c r="L43" s="19">
        <v>4</v>
      </c>
      <c r="M43" s="19">
        <v>1</v>
      </c>
      <c r="N43" s="19">
        <v>3</v>
      </c>
      <c r="O43" s="19">
        <v>2</v>
      </c>
      <c r="P43" s="19">
        <v>2</v>
      </c>
      <c r="Q43" s="19">
        <v>4</v>
      </c>
      <c r="R43" s="19">
        <v>2</v>
      </c>
      <c r="S43" s="19">
        <v>2</v>
      </c>
      <c r="T43" s="19">
        <v>3</v>
      </c>
      <c r="U43" s="19">
        <v>1</v>
      </c>
      <c r="V43" s="19">
        <v>2</v>
      </c>
      <c r="W43" s="19">
        <v>1</v>
      </c>
      <c r="X43" s="19">
        <v>3</v>
      </c>
      <c r="Y43" s="19">
        <v>1</v>
      </c>
      <c r="Z43" s="19">
        <v>1</v>
      </c>
      <c r="AA43" s="19">
        <v>1</v>
      </c>
      <c r="AB43" s="19">
        <v>2</v>
      </c>
      <c r="AC43" s="19">
        <v>3</v>
      </c>
      <c r="AD43" s="19">
        <v>1</v>
      </c>
      <c r="AE43" s="19">
        <v>2</v>
      </c>
      <c r="AF43" s="19">
        <v>2</v>
      </c>
      <c r="AG43" s="19">
        <v>2</v>
      </c>
      <c r="AH43" s="19">
        <v>1</v>
      </c>
      <c r="AI43" s="19">
        <v>1</v>
      </c>
      <c r="AJ43" s="19">
        <v>2</v>
      </c>
      <c r="AK43" s="19">
        <v>2</v>
      </c>
      <c r="AL43" s="19">
        <v>1</v>
      </c>
      <c r="AM43" s="19">
        <v>1</v>
      </c>
      <c r="AN43" s="19">
        <v>1</v>
      </c>
      <c r="AO43" s="19">
        <v>2</v>
      </c>
      <c r="AP43" s="19">
        <v>1</v>
      </c>
      <c r="AQ43" s="19">
        <v>2</v>
      </c>
      <c r="AR43" s="19">
        <v>2</v>
      </c>
      <c r="AS43" s="19">
        <v>2</v>
      </c>
      <c r="AT43" s="19">
        <v>1</v>
      </c>
      <c r="AU43" s="19">
        <v>1</v>
      </c>
      <c r="AV43" s="19">
        <v>2</v>
      </c>
      <c r="AW43" s="19">
        <v>3</v>
      </c>
      <c r="AX43" s="19">
        <v>1</v>
      </c>
      <c r="AY43" s="19">
        <v>1</v>
      </c>
      <c r="AZ43" s="19">
        <v>1</v>
      </c>
      <c r="BA43" s="19">
        <v>2</v>
      </c>
      <c r="BB43" s="19">
        <v>3</v>
      </c>
      <c r="BC43" s="19">
        <v>4</v>
      </c>
      <c r="BD43" s="19">
        <v>1</v>
      </c>
      <c r="BE43" s="19">
        <v>1</v>
      </c>
      <c r="BF43" s="19">
        <v>3</v>
      </c>
      <c r="BG43" s="19">
        <v>2</v>
      </c>
      <c r="BH43" s="19">
        <v>1</v>
      </c>
      <c r="BI43" s="19">
        <v>1</v>
      </c>
      <c r="BJ43" s="19">
        <v>4</v>
      </c>
      <c r="BK43" s="19">
        <v>1</v>
      </c>
      <c r="BL43" s="19">
        <v>1</v>
      </c>
      <c r="BM43" s="19">
        <v>1</v>
      </c>
      <c r="BN43" s="19">
        <v>4</v>
      </c>
      <c r="BO43" s="19">
        <v>3</v>
      </c>
      <c r="BP43" s="19">
        <v>5</v>
      </c>
      <c r="BQ43" s="19">
        <v>5</v>
      </c>
      <c r="BR43" s="19">
        <v>5</v>
      </c>
      <c r="BS43" s="19">
        <v>4</v>
      </c>
      <c r="BT43" s="19">
        <v>4</v>
      </c>
      <c r="BU43" s="19">
        <v>4</v>
      </c>
      <c r="BV43" s="19">
        <v>4</v>
      </c>
      <c r="BW43" s="19">
        <v>4</v>
      </c>
      <c r="BX43" s="19">
        <v>5</v>
      </c>
      <c r="BY43" s="19">
        <v>5</v>
      </c>
      <c r="BZ43" s="19">
        <v>4</v>
      </c>
      <c r="CA43" s="19">
        <v>4</v>
      </c>
      <c r="CB43" s="19">
        <v>4</v>
      </c>
      <c r="CC43" s="19">
        <v>4</v>
      </c>
      <c r="CD43" s="19">
        <v>4</v>
      </c>
      <c r="CE43" s="19">
        <v>5</v>
      </c>
      <c r="CF43" s="19">
        <v>4</v>
      </c>
      <c r="CG43" s="19">
        <v>4</v>
      </c>
      <c r="CH43" s="19">
        <v>5</v>
      </c>
      <c r="CI43" s="19">
        <v>5</v>
      </c>
      <c r="CJ43" s="19">
        <v>4</v>
      </c>
      <c r="CK43" s="19">
        <v>4</v>
      </c>
      <c r="CL43" s="19">
        <v>4</v>
      </c>
      <c r="CM43" s="19">
        <v>5</v>
      </c>
      <c r="CN43" s="19">
        <v>4</v>
      </c>
      <c r="CO43" s="19">
        <v>0</v>
      </c>
      <c r="CP43" s="19">
        <v>0</v>
      </c>
      <c r="CQ43" s="60">
        <v>1</v>
      </c>
      <c r="CR43" s="19">
        <v>0</v>
      </c>
      <c r="CS43" s="19">
        <v>1</v>
      </c>
      <c r="CT43" s="60">
        <v>1</v>
      </c>
      <c r="CU43" s="60">
        <v>0</v>
      </c>
      <c r="CV43" s="60">
        <v>1</v>
      </c>
      <c r="CW43" s="60">
        <v>0</v>
      </c>
      <c r="CX43" s="60">
        <v>1</v>
      </c>
      <c r="CY43" s="60">
        <v>0</v>
      </c>
      <c r="CZ43" s="19">
        <v>3</v>
      </c>
      <c r="DA43" s="19">
        <v>6</v>
      </c>
    </row>
    <row r="44" spans="1:105" s="34" customFormat="1">
      <c r="A44" s="40">
        <v>43</v>
      </c>
      <c r="B44" s="18">
        <v>191</v>
      </c>
      <c r="C44" s="19">
        <v>1</v>
      </c>
      <c r="D44" s="19">
        <v>2</v>
      </c>
      <c r="E44" s="19">
        <v>1</v>
      </c>
      <c r="F44" s="19">
        <v>0</v>
      </c>
      <c r="G44" s="19">
        <v>1</v>
      </c>
      <c r="H44" s="19">
        <v>0</v>
      </c>
      <c r="I44" s="19">
        <v>1</v>
      </c>
      <c r="J44" s="19">
        <v>0</v>
      </c>
      <c r="K44" s="19">
        <v>1</v>
      </c>
      <c r="L44" s="19">
        <v>3</v>
      </c>
      <c r="M44" s="19">
        <v>2</v>
      </c>
      <c r="N44" s="19">
        <v>4</v>
      </c>
      <c r="O44" s="19">
        <v>2</v>
      </c>
      <c r="P44" s="19">
        <v>3</v>
      </c>
      <c r="Q44" s="19">
        <v>3</v>
      </c>
      <c r="R44" s="19">
        <v>4</v>
      </c>
      <c r="S44" s="19">
        <v>1</v>
      </c>
      <c r="T44" s="19">
        <v>2</v>
      </c>
      <c r="U44" s="19">
        <v>3</v>
      </c>
      <c r="V44" s="19">
        <v>2</v>
      </c>
      <c r="W44" s="19">
        <v>1</v>
      </c>
      <c r="X44" s="19">
        <v>2</v>
      </c>
      <c r="Y44" s="19">
        <v>3</v>
      </c>
      <c r="Z44" s="19">
        <v>2</v>
      </c>
      <c r="AA44" s="19">
        <v>2</v>
      </c>
      <c r="AB44" s="19">
        <v>3</v>
      </c>
      <c r="AC44" s="19">
        <v>3</v>
      </c>
      <c r="AD44" s="19">
        <v>4</v>
      </c>
      <c r="AE44" s="19">
        <v>4</v>
      </c>
      <c r="AF44" s="19">
        <v>1</v>
      </c>
      <c r="AG44" s="19">
        <v>2</v>
      </c>
      <c r="AH44" s="19">
        <v>4</v>
      </c>
      <c r="AI44" s="19">
        <v>4</v>
      </c>
      <c r="AJ44" s="19">
        <v>2</v>
      </c>
      <c r="AK44" s="19">
        <v>2</v>
      </c>
      <c r="AL44" s="19">
        <v>3</v>
      </c>
      <c r="AM44" s="19">
        <v>4</v>
      </c>
      <c r="AN44" s="19">
        <v>1</v>
      </c>
      <c r="AO44" s="19">
        <v>2</v>
      </c>
      <c r="AP44" s="19">
        <v>5</v>
      </c>
      <c r="AQ44" s="19">
        <v>3</v>
      </c>
      <c r="AR44" s="19">
        <v>1</v>
      </c>
      <c r="AS44" s="19">
        <v>1</v>
      </c>
      <c r="AT44" s="19">
        <v>4</v>
      </c>
      <c r="AU44" s="19">
        <v>3</v>
      </c>
      <c r="AV44" s="19">
        <v>1</v>
      </c>
      <c r="AW44" s="19">
        <v>2</v>
      </c>
      <c r="AX44" s="19">
        <v>4</v>
      </c>
      <c r="AY44" s="19">
        <v>3</v>
      </c>
      <c r="AZ44" s="19">
        <v>1</v>
      </c>
      <c r="BA44" s="19">
        <v>2</v>
      </c>
      <c r="BB44" s="19">
        <v>3</v>
      </c>
      <c r="BC44" s="19">
        <v>5</v>
      </c>
      <c r="BD44" s="19">
        <v>2</v>
      </c>
      <c r="BE44" s="19">
        <v>1</v>
      </c>
      <c r="BF44" s="19">
        <v>2</v>
      </c>
      <c r="BG44" s="19">
        <v>5</v>
      </c>
      <c r="BH44" s="19">
        <v>1</v>
      </c>
      <c r="BI44" s="19">
        <v>1</v>
      </c>
      <c r="BJ44" s="19">
        <v>2</v>
      </c>
      <c r="BK44" s="19">
        <v>5</v>
      </c>
      <c r="BL44" s="19">
        <v>1</v>
      </c>
      <c r="BM44" s="19">
        <v>1</v>
      </c>
      <c r="BN44" s="19">
        <v>1</v>
      </c>
      <c r="BO44" s="19">
        <v>2</v>
      </c>
      <c r="BP44" s="19">
        <v>4</v>
      </c>
      <c r="BQ44" s="19">
        <v>3</v>
      </c>
      <c r="BR44" s="19">
        <v>3</v>
      </c>
      <c r="BS44" s="19">
        <v>4</v>
      </c>
      <c r="BT44" s="19">
        <v>4</v>
      </c>
      <c r="BU44" s="19">
        <v>2</v>
      </c>
      <c r="BV44" s="19">
        <v>3</v>
      </c>
      <c r="BW44" s="19">
        <v>4</v>
      </c>
      <c r="BX44" s="19">
        <v>4</v>
      </c>
      <c r="BY44" s="19">
        <v>5</v>
      </c>
      <c r="BZ44" s="19">
        <v>5</v>
      </c>
      <c r="CA44" s="19">
        <v>5</v>
      </c>
      <c r="CB44" s="19">
        <v>2</v>
      </c>
      <c r="CC44" s="19">
        <v>2</v>
      </c>
      <c r="CD44" s="19">
        <v>5</v>
      </c>
      <c r="CE44" s="19">
        <v>4</v>
      </c>
      <c r="CF44" s="19">
        <v>5</v>
      </c>
      <c r="CG44" s="19">
        <v>3</v>
      </c>
      <c r="CH44" s="19">
        <v>5</v>
      </c>
      <c r="CI44" s="19">
        <v>5</v>
      </c>
      <c r="CJ44" s="19">
        <v>3</v>
      </c>
      <c r="CK44" s="19">
        <v>4</v>
      </c>
      <c r="CL44" s="19">
        <v>2</v>
      </c>
      <c r="CM44" s="19">
        <v>3</v>
      </c>
      <c r="CN44" s="19">
        <v>2</v>
      </c>
      <c r="CO44" s="19">
        <v>0</v>
      </c>
      <c r="CP44" s="19">
        <v>0</v>
      </c>
      <c r="CQ44" s="60">
        <v>1</v>
      </c>
      <c r="CR44" s="19">
        <v>0</v>
      </c>
      <c r="CS44" s="19">
        <v>0</v>
      </c>
      <c r="CT44" s="60">
        <v>1</v>
      </c>
      <c r="CU44" s="60">
        <v>0</v>
      </c>
      <c r="CV44" s="60">
        <v>1</v>
      </c>
      <c r="CW44" s="60">
        <v>0</v>
      </c>
      <c r="CX44" s="60">
        <v>1</v>
      </c>
      <c r="CY44" s="60">
        <v>0</v>
      </c>
      <c r="CZ44" s="19">
        <v>5</v>
      </c>
      <c r="DA44" s="19">
        <v>1</v>
      </c>
    </row>
    <row r="45" spans="1:105" s="34" customFormat="1">
      <c r="A45" s="40">
        <v>44</v>
      </c>
      <c r="B45" s="18">
        <v>157</v>
      </c>
      <c r="C45" s="19">
        <v>1</v>
      </c>
      <c r="D45" s="19">
        <v>1</v>
      </c>
      <c r="E45" s="19">
        <v>4</v>
      </c>
      <c r="F45" s="19">
        <v>1</v>
      </c>
      <c r="G45" s="19">
        <v>0</v>
      </c>
      <c r="H45" s="19">
        <v>0</v>
      </c>
      <c r="I45" s="19">
        <v>0</v>
      </c>
      <c r="J45" s="19">
        <v>0</v>
      </c>
      <c r="K45" s="19">
        <v>1</v>
      </c>
      <c r="L45" s="19">
        <v>2</v>
      </c>
      <c r="M45" s="19">
        <v>2</v>
      </c>
      <c r="N45" s="19">
        <v>2</v>
      </c>
      <c r="O45" s="19">
        <v>2</v>
      </c>
      <c r="P45" s="19">
        <v>2</v>
      </c>
      <c r="Q45" s="19">
        <v>4</v>
      </c>
      <c r="R45" s="19">
        <v>3</v>
      </c>
      <c r="S45" s="19">
        <v>2</v>
      </c>
      <c r="T45" s="19">
        <v>3</v>
      </c>
      <c r="U45" s="19">
        <v>3</v>
      </c>
      <c r="V45" s="19">
        <v>2</v>
      </c>
      <c r="W45" s="19">
        <v>2</v>
      </c>
      <c r="X45" s="19">
        <v>3</v>
      </c>
      <c r="Y45" s="19">
        <v>3</v>
      </c>
      <c r="Z45" s="19">
        <v>3</v>
      </c>
      <c r="AA45" s="19">
        <v>1</v>
      </c>
      <c r="AB45" s="19">
        <v>2</v>
      </c>
      <c r="AC45" s="19">
        <v>3</v>
      </c>
      <c r="AD45" s="19">
        <v>2</v>
      </c>
      <c r="AE45" s="19">
        <v>3</v>
      </c>
      <c r="AF45" s="19">
        <v>3</v>
      </c>
      <c r="AG45" s="19">
        <v>2</v>
      </c>
      <c r="AH45" s="19">
        <v>2</v>
      </c>
      <c r="AI45" s="19">
        <v>4</v>
      </c>
      <c r="AJ45" s="19">
        <v>2</v>
      </c>
      <c r="AK45" s="19">
        <v>2</v>
      </c>
      <c r="AL45" s="19">
        <v>1</v>
      </c>
      <c r="AM45" s="19">
        <v>4</v>
      </c>
      <c r="AN45" s="19">
        <v>3</v>
      </c>
      <c r="AO45" s="19">
        <v>3</v>
      </c>
      <c r="AP45" s="19">
        <v>3</v>
      </c>
      <c r="AQ45" s="19">
        <v>4</v>
      </c>
      <c r="AR45" s="19">
        <v>2</v>
      </c>
      <c r="AS45" s="19">
        <v>2</v>
      </c>
      <c r="AT45" s="19">
        <v>3</v>
      </c>
      <c r="AU45" s="19">
        <v>4</v>
      </c>
      <c r="AV45" s="19">
        <v>2</v>
      </c>
      <c r="AW45" s="19">
        <v>2</v>
      </c>
      <c r="AX45" s="19">
        <v>2</v>
      </c>
      <c r="AY45" s="19">
        <v>4</v>
      </c>
      <c r="AZ45" s="19">
        <v>3</v>
      </c>
      <c r="BA45" s="19">
        <v>2</v>
      </c>
      <c r="BB45" s="19">
        <v>3</v>
      </c>
      <c r="BC45" s="19">
        <v>4</v>
      </c>
      <c r="BD45" s="19">
        <v>3</v>
      </c>
      <c r="BE45" s="19">
        <v>1</v>
      </c>
      <c r="BF45" s="19">
        <v>3</v>
      </c>
      <c r="BG45" s="19">
        <v>4</v>
      </c>
      <c r="BH45" s="19">
        <v>2</v>
      </c>
      <c r="BI45" s="19">
        <v>1</v>
      </c>
      <c r="BJ45" s="19">
        <v>3</v>
      </c>
      <c r="BK45" s="19">
        <v>4</v>
      </c>
      <c r="BL45" s="19">
        <v>2</v>
      </c>
      <c r="BM45" s="19">
        <v>1</v>
      </c>
      <c r="BN45" s="19">
        <v>3</v>
      </c>
      <c r="BO45" s="19">
        <v>3</v>
      </c>
      <c r="BP45" s="19">
        <v>4</v>
      </c>
      <c r="BQ45" s="19">
        <v>4</v>
      </c>
      <c r="BR45" s="19">
        <v>4</v>
      </c>
      <c r="BS45" s="19">
        <v>4</v>
      </c>
      <c r="BT45" s="19">
        <v>4</v>
      </c>
      <c r="BU45" s="19">
        <v>4</v>
      </c>
      <c r="BV45" s="19">
        <v>4</v>
      </c>
      <c r="BW45" s="19">
        <v>4</v>
      </c>
      <c r="BX45" s="19">
        <v>4</v>
      </c>
      <c r="BY45" s="19">
        <v>4</v>
      </c>
      <c r="BZ45" s="19">
        <v>4</v>
      </c>
      <c r="CA45" s="19">
        <v>4</v>
      </c>
      <c r="CB45" s="19">
        <v>4</v>
      </c>
      <c r="CC45" s="19">
        <v>4</v>
      </c>
      <c r="CD45" s="19">
        <v>4</v>
      </c>
      <c r="CE45" s="19">
        <v>3</v>
      </c>
      <c r="CF45" s="19">
        <v>4</v>
      </c>
      <c r="CG45" s="19">
        <v>4</v>
      </c>
      <c r="CH45" s="19">
        <v>4</v>
      </c>
      <c r="CI45" s="19">
        <v>4</v>
      </c>
      <c r="CJ45" s="19">
        <v>4</v>
      </c>
      <c r="CK45" s="19">
        <v>4</v>
      </c>
      <c r="CL45" s="19">
        <v>3</v>
      </c>
      <c r="CM45" s="19">
        <v>4</v>
      </c>
      <c r="CN45" s="19">
        <v>4</v>
      </c>
      <c r="CO45" s="19">
        <v>1</v>
      </c>
      <c r="CP45" s="19">
        <v>0</v>
      </c>
      <c r="CQ45" s="60">
        <v>1</v>
      </c>
      <c r="CR45" s="19">
        <v>1</v>
      </c>
      <c r="CS45" s="19">
        <v>0</v>
      </c>
      <c r="CT45" s="60">
        <v>1</v>
      </c>
      <c r="CU45" s="60">
        <v>0</v>
      </c>
      <c r="CV45" s="60">
        <v>1</v>
      </c>
      <c r="CW45" s="60">
        <v>0</v>
      </c>
      <c r="CX45" s="60">
        <v>0</v>
      </c>
      <c r="CY45" s="60">
        <v>0</v>
      </c>
      <c r="CZ45" s="19">
        <v>3</v>
      </c>
      <c r="DA45" s="19">
        <v>2</v>
      </c>
    </row>
  </sheetData>
  <conditionalFormatting sqref="CQ2:CQ45 CT2:CY45">
    <cfRule type="containsBlanks" dxfId="35" priority="1">
      <formula>LEN(TRIM(CQ2))=0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C998E-8A5C-4C3D-B8CA-5325C32D9EE0}">
  <dimension ref="A1:I45"/>
  <sheetViews>
    <sheetView zoomScale="90" zoomScaleNormal="90" workbookViewId="0"/>
  </sheetViews>
  <sheetFormatPr defaultRowHeight="15"/>
  <cols>
    <col min="3" max="9" width="28.28515625" style="35" customWidth="1"/>
  </cols>
  <sheetData>
    <row r="1" spans="1:9">
      <c r="A1" s="36" t="s">
        <v>1319</v>
      </c>
      <c r="B1" s="36" t="s">
        <v>1196</v>
      </c>
      <c r="C1" s="37" t="s">
        <v>0</v>
      </c>
      <c r="D1" s="37" t="s">
        <v>1</v>
      </c>
      <c r="E1" s="37" t="s">
        <v>2</v>
      </c>
      <c r="F1" s="37" t="s">
        <v>3</v>
      </c>
      <c r="G1" s="37" t="s">
        <v>4</v>
      </c>
      <c r="H1" s="37" t="s">
        <v>5</v>
      </c>
      <c r="I1" s="37" t="s">
        <v>6</v>
      </c>
    </row>
    <row r="2" spans="1:9">
      <c r="A2" s="38">
        <v>1</v>
      </c>
      <c r="B2" s="15">
        <v>153</v>
      </c>
      <c r="C2" s="39" t="s">
        <v>7</v>
      </c>
      <c r="D2" s="39" t="s">
        <v>7</v>
      </c>
      <c r="E2" s="39" t="s">
        <v>7</v>
      </c>
      <c r="F2" s="39" t="s">
        <v>7</v>
      </c>
      <c r="G2" s="39" t="s">
        <v>7</v>
      </c>
      <c r="H2" s="39" t="s">
        <v>7</v>
      </c>
      <c r="I2" s="39" t="s">
        <v>7</v>
      </c>
    </row>
    <row r="3" spans="1:9">
      <c r="A3" s="38">
        <v>2</v>
      </c>
      <c r="B3" s="15">
        <v>177</v>
      </c>
      <c r="C3" s="39" t="s">
        <v>7</v>
      </c>
      <c r="D3" s="39" t="s">
        <v>7</v>
      </c>
      <c r="E3" s="39" t="s">
        <v>7</v>
      </c>
      <c r="F3" s="39" t="s">
        <v>7</v>
      </c>
      <c r="G3" s="39" t="s">
        <v>8</v>
      </c>
      <c r="H3" s="39" t="s">
        <v>9</v>
      </c>
      <c r="I3" s="39" t="s">
        <v>7</v>
      </c>
    </row>
    <row r="4" spans="1:9">
      <c r="A4" s="38">
        <v>3</v>
      </c>
      <c r="B4" s="15">
        <v>192</v>
      </c>
      <c r="C4" s="39" t="s">
        <v>10</v>
      </c>
      <c r="D4" s="39" t="s">
        <v>11</v>
      </c>
      <c r="E4" s="39" t="s">
        <v>12</v>
      </c>
      <c r="F4" s="39" t="s">
        <v>13</v>
      </c>
      <c r="G4" s="39" t="s">
        <v>14</v>
      </c>
      <c r="H4" s="39" t="s">
        <v>7</v>
      </c>
      <c r="I4" s="39" t="s">
        <v>15</v>
      </c>
    </row>
    <row r="5" spans="1:9">
      <c r="A5" s="38">
        <v>4</v>
      </c>
      <c r="B5" s="15">
        <v>166</v>
      </c>
      <c r="C5" s="39" t="s">
        <v>16</v>
      </c>
      <c r="D5" s="39" t="s">
        <v>17</v>
      </c>
      <c r="E5" s="39" t="s">
        <v>18</v>
      </c>
      <c r="F5" s="39" t="s">
        <v>19</v>
      </c>
      <c r="G5" s="39" t="s">
        <v>20</v>
      </c>
      <c r="H5" s="39" t="s">
        <v>21</v>
      </c>
      <c r="I5" s="39" t="s">
        <v>22</v>
      </c>
    </row>
    <row r="6" spans="1:9">
      <c r="A6" s="38">
        <v>5</v>
      </c>
      <c r="B6" s="15">
        <v>173</v>
      </c>
      <c r="C6" s="39" t="s">
        <v>23</v>
      </c>
      <c r="D6" s="39" t="s">
        <v>24</v>
      </c>
      <c r="E6" s="39" t="s">
        <v>25</v>
      </c>
      <c r="F6" s="39" t="s">
        <v>26</v>
      </c>
      <c r="G6" s="39" t="s">
        <v>27</v>
      </c>
      <c r="H6" s="39" t="s">
        <v>28</v>
      </c>
      <c r="I6" s="39" t="s">
        <v>29</v>
      </c>
    </row>
    <row r="7" spans="1:9">
      <c r="A7" s="38">
        <v>6</v>
      </c>
      <c r="B7" s="15">
        <v>154</v>
      </c>
      <c r="C7" s="39" t="s">
        <v>30</v>
      </c>
      <c r="D7" s="39" t="s">
        <v>31</v>
      </c>
      <c r="E7" s="39" t="s">
        <v>32</v>
      </c>
      <c r="F7" s="39" t="s">
        <v>33</v>
      </c>
      <c r="G7" s="39" t="s">
        <v>34</v>
      </c>
      <c r="H7" s="39" t="s">
        <v>35</v>
      </c>
      <c r="I7" s="39" t="s">
        <v>36</v>
      </c>
    </row>
    <row r="8" spans="1:9">
      <c r="A8" s="38">
        <v>7</v>
      </c>
      <c r="B8" s="15">
        <v>169</v>
      </c>
      <c r="C8" s="39" t="s">
        <v>7</v>
      </c>
      <c r="D8" s="39" t="s">
        <v>37</v>
      </c>
      <c r="E8" s="39" t="s">
        <v>7</v>
      </c>
      <c r="F8" s="39" t="s">
        <v>7</v>
      </c>
      <c r="G8" s="39" t="s">
        <v>38</v>
      </c>
      <c r="H8" s="39" t="s">
        <v>39</v>
      </c>
      <c r="I8" s="39" t="s">
        <v>40</v>
      </c>
    </row>
    <row r="9" spans="1:9">
      <c r="A9" s="38">
        <v>8</v>
      </c>
      <c r="B9" s="15">
        <v>151</v>
      </c>
      <c r="C9" s="39" t="s">
        <v>7</v>
      </c>
      <c r="D9" s="39" t="s">
        <v>7</v>
      </c>
      <c r="E9" s="39" t="s">
        <v>41</v>
      </c>
      <c r="F9" s="39" t="s">
        <v>42</v>
      </c>
      <c r="G9" s="39" t="s">
        <v>43</v>
      </c>
      <c r="H9" s="39" t="s">
        <v>7</v>
      </c>
      <c r="I9" s="39" t="s">
        <v>7</v>
      </c>
    </row>
    <row r="10" spans="1:9">
      <c r="A10" s="38">
        <v>9</v>
      </c>
      <c r="B10" s="15">
        <v>172</v>
      </c>
      <c r="C10" s="39" t="s">
        <v>44</v>
      </c>
      <c r="D10" s="39" t="s">
        <v>7</v>
      </c>
      <c r="E10" s="39" t="s">
        <v>45</v>
      </c>
      <c r="F10" s="39" t="s">
        <v>46</v>
      </c>
      <c r="G10" s="39" t="s">
        <v>47</v>
      </c>
      <c r="H10" s="39" t="s">
        <v>48</v>
      </c>
      <c r="I10" s="39" t="s">
        <v>49</v>
      </c>
    </row>
    <row r="11" spans="1:9">
      <c r="A11" s="38">
        <v>10</v>
      </c>
      <c r="B11" s="15">
        <v>158</v>
      </c>
      <c r="C11" s="39" t="s">
        <v>50</v>
      </c>
      <c r="D11" s="39" t="s">
        <v>51</v>
      </c>
      <c r="E11" s="39" t="s">
        <v>7</v>
      </c>
      <c r="F11" s="39" t="s">
        <v>52</v>
      </c>
      <c r="G11" s="39" t="s">
        <v>53</v>
      </c>
      <c r="H11" s="39" t="s">
        <v>54</v>
      </c>
      <c r="I11" s="39" t="s">
        <v>55</v>
      </c>
    </row>
    <row r="12" spans="1:9">
      <c r="A12" s="38">
        <v>11</v>
      </c>
      <c r="B12" s="15">
        <v>161</v>
      </c>
      <c r="C12" s="39" t="s">
        <v>56</v>
      </c>
      <c r="D12" s="39" t="s">
        <v>7</v>
      </c>
      <c r="E12" s="39" t="s">
        <v>7</v>
      </c>
      <c r="F12" s="39" t="s">
        <v>57</v>
      </c>
      <c r="G12" s="39" t="s">
        <v>58</v>
      </c>
      <c r="H12" s="39" t="s">
        <v>59</v>
      </c>
      <c r="I12" s="39" t="s">
        <v>60</v>
      </c>
    </row>
    <row r="13" spans="1:9">
      <c r="A13" s="38">
        <v>12</v>
      </c>
      <c r="B13" s="15">
        <v>163</v>
      </c>
      <c r="C13" s="39" t="s">
        <v>61</v>
      </c>
      <c r="D13" s="39" t="s">
        <v>62</v>
      </c>
      <c r="E13" s="39" t="s">
        <v>63</v>
      </c>
      <c r="F13" s="39" t="s">
        <v>64</v>
      </c>
      <c r="G13" s="39" t="s">
        <v>65</v>
      </c>
      <c r="H13" s="39" t="s">
        <v>66</v>
      </c>
      <c r="I13" s="39" t="s">
        <v>67</v>
      </c>
    </row>
    <row r="14" spans="1:9">
      <c r="A14" s="38">
        <v>13</v>
      </c>
      <c r="B14" s="15">
        <v>180</v>
      </c>
      <c r="C14" s="39" t="s">
        <v>68</v>
      </c>
      <c r="D14" s="39" t="s">
        <v>69</v>
      </c>
      <c r="E14" s="39" t="s">
        <v>70</v>
      </c>
      <c r="F14" s="39" t="s">
        <v>71</v>
      </c>
      <c r="G14" s="39" t="s">
        <v>72</v>
      </c>
      <c r="H14" s="39" t="s">
        <v>73</v>
      </c>
      <c r="I14" s="39" t="s">
        <v>74</v>
      </c>
    </row>
    <row r="15" spans="1:9">
      <c r="A15" s="38">
        <v>14</v>
      </c>
      <c r="B15" s="15">
        <v>189</v>
      </c>
      <c r="C15" s="39" t="s">
        <v>75</v>
      </c>
      <c r="D15" s="39" t="s">
        <v>76</v>
      </c>
      <c r="E15" s="39" t="s">
        <v>77</v>
      </c>
      <c r="F15" s="39" t="s">
        <v>78</v>
      </c>
      <c r="G15" s="39" t="s">
        <v>79</v>
      </c>
      <c r="H15" s="39" t="s">
        <v>80</v>
      </c>
      <c r="I15" s="39" t="s">
        <v>81</v>
      </c>
    </row>
    <row r="16" spans="1:9">
      <c r="A16" s="38">
        <v>15</v>
      </c>
      <c r="B16" s="15">
        <v>168</v>
      </c>
      <c r="C16" s="39" t="s">
        <v>82</v>
      </c>
      <c r="D16" s="39" t="s">
        <v>83</v>
      </c>
      <c r="E16" s="39" t="s">
        <v>84</v>
      </c>
      <c r="F16" s="39" t="s">
        <v>85</v>
      </c>
      <c r="G16" s="39" t="s">
        <v>86</v>
      </c>
      <c r="H16" s="39" t="s">
        <v>87</v>
      </c>
      <c r="I16" s="39" t="s">
        <v>88</v>
      </c>
    </row>
    <row r="17" spans="1:9">
      <c r="A17" s="38">
        <v>16</v>
      </c>
      <c r="B17" s="15">
        <v>182</v>
      </c>
      <c r="C17" s="39" t="s">
        <v>89</v>
      </c>
      <c r="D17" s="39" t="s">
        <v>90</v>
      </c>
      <c r="E17" s="39" t="s">
        <v>91</v>
      </c>
      <c r="F17" s="39" t="s">
        <v>92</v>
      </c>
      <c r="G17" s="39" t="s">
        <v>93</v>
      </c>
      <c r="H17" s="39" t="s">
        <v>94</v>
      </c>
      <c r="I17" s="39" t="s">
        <v>95</v>
      </c>
    </row>
    <row r="18" spans="1:9">
      <c r="A18" s="38">
        <v>17</v>
      </c>
      <c r="B18" s="15">
        <v>162</v>
      </c>
      <c r="C18" s="39" t="s">
        <v>96</v>
      </c>
      <c r="D18" s="39" t="s">
        <v>97</v>
      </c>
      <c r="E18" s="39" t="s">
        <v>98</v>
      </c>
      <c r="F18" s="39" t="s">
        <v>99</v>
      </c>
      <c r="G18" s="39" t="s">
        <v>100</v>
      </c>
      <c r="H18" s="39" t="s">
        <v>101</v>
      </c>
      <c r="I18" s="39" t="s">
        <v>102</v>
      </c>
    </row>
    <row r="19" spans="1:9">
      <c r="A19" s="38">
        <v>18</v>
      </c>
      <c r="B19" s="15">
        <v>184</v>
      </c>
      <c r="C19" s="39" t="s">
        <v>103</v>
      </c>
      <c r="D19" s="39" t="s">
        <v>104</v>
      </c>
      <c r="E19" s="39" t="s">
        <v>105</v>
      </c>
      <c r="F19" s="39" t="s">
        <v>106</v>
      </c>
      <c r="G19" s="39" t="s">
        <v>107</v>
      </c>
      <c r="H19" s="39" t="s">
        <v>108</v>
      </c>
      <c r="I19" s="39" t="s">
        <v>109</v>
      </c>
    </row>
    <row r="20" spans="1:9">
      <c r="A20" s="38">
        <v>19</v>
      </c>
      <c r="B20" s="15">
        <v>165</v>
      </c>
      <c r="C20" s="39" t="s">
        <v>110</v>
      </c>
      <c r="D20" s="39" t="s">
        <v>7</v>
      </c>
      <c r="E20" s="39" t="s">
        <v>111</v>
      </c>
      <c r="F20" s="39" t="s">
        <v>112</v>
      </c>
      <c r="G20" s="39" t="s">
        <v>113</v>
      </c>
      <c r="H20" s="39" t="s">
        <v>7</v>
      </c>
      <c r="I20" s="39" t="s">
        <v>7</v>
      </c>
    </row>
    <row r="21" spans="1:9">
      <c r="A21" s="38">
        <v>20</v>
      </c>
      <c r="B21" s="15">
        <v>181</v>
      </c>
      <c r="C21" s="39" t="s">
        <v>114</v>
      </c>
      <c r="D21" s="39" t="s">
        <v>115</v>
      </c>
      <c r="E21" s="39" t="s">
        <v>116</v>
      </c>
      <c r="F21" s="39" t="s">
        <v>117</v>
      </c>
      <c r="G21" s="39" t="s">
        <v>118</v>
      </c>
      <c r="H21" s="39" t="s">
        <v>119</v>
      </c>
      <c r="I21" s="39" t="s">
        <v>120</v>
      </c>
    </row>
    <row r="22" spans="1:9">
      <c r="A22" s="38">
        <v>21</v>
      </c>
      <c r="B22" s="15">
        <v>164</v>
      </c>
      <c r="C22" s="39" t="s">
        <v>121</v>
      </c>
      <c r="D22" s="39" t="s">
        <v>122</v>
      </c>
      <c r="E22" s="39" t="s">
        <v>123</v>
      </c>
      <c r="F22" s="39" t="s">
        <v>124</v>
      </c>
      <c r="G22" s="39" t="s">
        <v>125</v>
      </c>
      <c r="H22" s="39" t="s">
        <v>7</v>
      </c>
      <c r="I22" s="39" t="s">
        <v>7</v>
      </c>
    </row>
    <row r="23" spans="1:9">
      <c r="A23" s="38">
        <v>22</v>
      </c>
      <c r="B23" s="15">
        <v>159</v>
      </c>
      <c r="C23" s="39" t="s">
        <v>126</v>
      </c>
      <c r="D23" s="39" t="s">
        <v>127</v>
      </c>
      <c r="E23" s="39" t="s">
        <v>128</v>
      </c>
      <c r="F23" s="39" t="s">
        <v>129</v>
      </c>
      <c r="G23" s="39" t="s">
        <v>130</v>
      </c>
      <c r="H23" s="39" t="s">
        <v>131</v>
      </c>
      <c r="I23" s="39" t="s">
        <v>132</v>
      </c>
    </row>
    <row r="24" spans="1:9">
      <c r="A24" s="38">
        <v>23</v>
      </c>
      <c r="B24" s="15">
        <v>150</v>
      </c>
      <c r="C24" s="39" t="s">
        <v>133</v>
      </c>
      <c r="D24" s="39" t="s">
        <v>134</v>
      </c>
      <c r="E24" s="39" t="s">
        <v>7</v>
      </c>
      <c r="F24" s="39" t="s">
        <v>135</v>
      </c>
      <c r="G24" s="39" t="s">
        <v>136</v>
      </c>
      <c r="H24" s="39" t="s">
        <v>7</v>
      </c>
      <c r="I24" s="39" t="s">
        <v>7</v>
      </c>
    </row>
    <row r="25" spans="1:9">
      <c r="A25" s="38">
        <v>24</v>
      </c>
      <c r="B25" s="15">
        <v>160</v>
      </c>
      <c r="C25" s="39" t="s">
        <v>137</v>
      </c>
      <c r="D25" s="39" t="s">
        <v>138</v>
      </c>
      <c r="E25" s="39" t="s">
        <v>139</v>
      </c>
      <c r="F25" s="39" t="s">
        <v>140</v>
      </c>
      <c r="G25" s="39" t="s">
        <v>141</v>
      </c>
      <c r="H25" s="39" t="s">
        <v>142</v>
      </c>
      <c r="I25" s="39" t="s">
        <v>143</v>
      </c>
    </row>
    <row r="26" spans="1:9">
      <c r="A26" s="38">
        <v>25</v>
      </c>
      <c r="B26" s="15">
        <v>171</v>
      </c>
      <c r="C26" s="39" t="s">
        <v>144</v>
      </c>
      <c r="D26" s="39" t="s">
        <v>145</v>
      </c>
      <c r="E26" s="39" t="s">
        <v>146</v>
      </c>
      <c r="F26" s="39" t="s">
        <v>147</v>
      </c>
      <c r="G26" s="39" t="s">
        <v>148</v>
      </c>
      <c r="H26" s="39" t="s">
        <v>149</v>
      </c>
      <c r="I26" s="39" t="s">
        <v>150</v>
      </c>
    </row>
    <row r="27" spans="1:9">
      <c r="A27" s="38">
        <v>26</v>
      </c>
      <c r="B27" s="15">
        <v>156</v>
      </c>
      <c r="C27" s="39" t="s">
        <v>151</v>
      </c>
      <c r="D27" s="39" t="s">
        <v>152</v>
      </c>
      <c r="E27" s="39" t="s">
        <v>153</v>
      </c>
      <c r="F27" s="39" t="s">
        <v>154</v>
      </c>
      <c r="G27" s="39" t="s">
        <v>155</v>
      </c>
      <c r="H27" s="39" t="s">
        <v>156</v>
      </c>
      <c r="I27" s="39" t="s">
        <v>157</v>
      </c>
    </row>
    <row r="28" spans="1:9">
      <c r="A28" s="38">
        <v>27</v>
      </c>
      <c r="B28" s="15">
        <v>183</v>
      </c>
      <c r="C28" s="39" t="s">
        <v>7</v>
      </c>
      <c r="D28" s="39" t="s">
        <v>7</v>
      </c>
      <c r="E28" s="39" t="s">
        <v>7</v>
      </c>
      <c r="F28" s="39" t="s">
        <v>7</v>
      </c>
      <c r="G28" s="39" t="s">
        <v>7</v>
      </c>
      <c r="H28" s="39" t="s">
        <v>7</v>
      </c>
      <c r="I28" s="39" t="s">
        <v>7</v>
      </c>
    </row>
    <row r="29" spans="1:9">
      <c r="A29" s="38">
        <v>28</v>
      </c>
      <c r="B29" s="15">
        <v>178</v>
      </c>
      <c r="C29" s="39" t="s">
        <v>158</v>
      </c>
      <c r="D29" s="39" t="s">
        <v>159</v>
      </c>
      <c r="E29" s="39" t="s">
        <v>160</v>
      </c>
      <c r="F29" s="39" t="s">
        <v>161</v>
      </c>
      <c r="G29" s="39" t="s">
        <v>162</v>
      </c>
      <c r="H29" s="39" t="s">
        <v>163</v>
      </c>
      <c r="I29" s="39" t="s">
        <v>164</v>
      </c>
    </row>
    <row r="30" spans="1:9">
      <c r="A30" s="38">
        <v>29</v>
      </c>
      <c r="B30" s="15">
        <v>190</v>
      </c>
      <c r="C30" s="39" t="s">
        <v>165</v>
      </c>
      <c r="D30" s="39" t="s">
        <v>166</v>
      </c>
      <c r="E30" s="39" t="s">
        <v>167</v>
      </c>
      <c r="F30" s="39" t="s">
        <v>168</v>
      </c>
      <c r="G30" s="39" t="s">
        <v>169</v>
      </c>
      <c r="H30" s="39" t="s">
        <v>170</v>
      </c>
      <c r="I30" s="39" t="s">
        <v>171</v>
      </c>
    </row>
    <row r="31" spans="1:9">
      <c r="A31" s="38">
        <v>30</v>
      </c>
      <c r="B31">
        <v>195</v>
      </c>
      <c r="C31" s="39" t="s">
        <v>172</v>
      </c>
      <c r="D31" s="39" t="s">
        <v>173</v>
      </c>
      <c r="E31" s="39" t="s">
        <v>174</v>
      </c>
      <c r="F31" s="39" t="s">
        <v>175</v>
      </c>
      <c r="G31" s="39" t="s">
        <v>176</v>
      </c>
      <c r="H31" s="39" t="s">
        <v>177</v>
      </c>
      <c r="I31" s="39" t="s">
        <v>178</v>
      </c>
    </row>
    <row r="32" spans="1:9">
      <c r="A32" s="38">
        <v>31</v>
      </c>
      <c r="B32">
        <v>196</v>
      </c>
      <c r="C32" s="39" t="s">
        <v>179</v>
      </c>
      <c r="D32" s="39" t="s">
        <v>180</v>
      </c>
      <c r="E32" s="39" t="s">
        <v>181</v>
      </c>
      <c r="F32" s="39" t="s">
        <v>182</v>
      </c>
      <c r="G32" s="39" t="s">
        <v>183</v>
      </c>
      <c r="H32" s="39" t="s">
        <v>184</v>
      </c>
      <c r="I32" s="39" t="s">
        <v>185</v>
      </c>
    </row>
    <row r="33" spans="1:9">
      <c r="A33" s="38">
        <v>32</v>
      </c>
      <c r="B33">
        <v>197</v>
      </c>
      <c r="C33" s="39" t="s">
        <v>186</v>
      </c>
      <c r="D33" s="39" t="s">
        <v>187</v>
      </c>
      <c r="E33" s="39" t="s">
        <v>188</v>
      </c>
      <c r="F33" s="39" t="s">
        <v>189</v>
      </c>
      <c r="G33" s="39" t="s">
        <v>190</v>
      </c>
      <c r="H33" s="39" t="s">
        <v>191</v>
      </c>
      <c r="I33" s="39" t="s">
        <v>192</v>
      </c>
    </row>
    <row r="34" spans="1:9">
      <c r="A34" s="38">
        <v>33</v>
      </c>
      <c r="B34" s="15">
        <v>167</v>
      </c>
      <c r="C34" s="39" t="s">
        <v>193</v>
      </c>
      <c r="D34" s="39" t="s">
        <v>7</v>
      </c>
      <c r="E34" s="39" t="s">
        <v>7</v>
      </c>
      <c r="F34" s="39" t="s">
        <v>7</v>
      </c>
      <c r="G34" s="39" t="s">
        <v>194</v>
      </c>
      <c r="H34" s="39" t="s">
        <v>7</v>
      </c>
      <c r="I34" s="39" t="s">
        <v>7</v>
      </c>
    </row>
    <row r="35" spans="1:9">
      <c r="A35" s="38">
        <v>34</v>
      </c>
      <c r="B35" s="15">
        <v>187</v>
      </c>
      <c r="C35" s="39" t="s">
        <v>195</v>
      </c>
      <c r="D35" s="39" t="s">
        <v>196</v>
      </c>
      <c r="E35" s="39" t="s">
        <v>197</v>
      </c>
      <c r="F35" s="39" t="s">
        <v>198</v>
      </c>
      <c r="G35" s="39" t="s">
        <v>199</v>
      </c>
      <c r="H35" s="39" t="s">
        <v>200</v>
      </c>
      <c r="I35" s="39" t="s">
        <v>201</v>
      </c>
    </row>
    <row r="36" spans="1:9">
      <c r="A36" s="38">
        <v>35</v>
      </c>
      <c r="B36" s="15">
        <v>185</v>
      </c>
      <c r="C36" s="39" t="s">
        <v>202</v>
      </c>
      <c r="D36" s="39" t="s">
        <v>7</v>
      </c>
      <c r="E36" s="39" t="s">
        <v>203</v>
      </c>
      <c r="F36" s="39" t="s">
        <v>204</v>
      </c>
      <c r="G36" s="39" t="s">
        <v>205</v>
      </c>
      <c r="H36" s="39" t="s">
        <v>206</v>
      </c>
      <c r="I36" s="39" t="s">
        <v>207</v>
      </c>
    </row>
    <row r="37" spans="1:9">
      <c r="A37" s="38">
        <v>36</v>
      </c>
      <c r="B37" s="15">
        <v>193</v>
      </c>
      <c r="C37" s="39" t="s">
        <v>208</v>
      </c>
      <c r="D37" s="39" t="s">
        <v>7</v>
      </c>
      <c r="E37" s="39" t="s">
        <v>7</v>
      </c>
      <c r="F37" s="39" t="s">
        <v>7</v>
      </c>
      <c r="G37" s="39" t="s">
        <v>7</v>
      </c>
      <c r="H37" s="39" t="s">
        <v>209</v>
      </c>
      <c r="I37" s="39" t="s">
        <v>210</v>
      </c>
    </row>
    <row r="38" spans="1:9">
      <c r="A38" s="38">
        <v>37</v>
      </c>
      <c r="B38" s="15">
        <v>170</v>
      </c>
      <c r="C38" s="39" t="s">
        <v>7</v>
      </c>
      <c r="D38" s="39" t="s">
        <v>7</v>
      </c>
      <c r="E38" s="39" t="s">
        <v>7</v>
      </c>
      <c r="F38" s="39" t="s">
        <v>7</v>
      </c>
      <c r="G38" s="39" t="s">
        <v>211</v>
      </c>
      <c r="H38" s="39" t="s">
        <v>212</v>
      </c>
      <c r="I38" s="39" t="s">
        <v>7</v>
      </c>
    </row>
    <row r="39" spans="1:9">
      <c r="A39" s="38">
        <v>38</v>
      </c>
      <c r="B39" s="15">
        <v>155</v>
      </c>
      <c r="C39" s="39" t="s">
        <v>213</v>
      </c>
      <c r="D39" s="39" t="s">
        <v>214</v>
      </c>
      <c r="E39" s="39" t="s">
        <v>215</v>
      </c>
      <c r="F39" s="39" t="s">
        <v>216</v>
      </c>
      <c r="G39" s="39" t="s">
        <v>217</v>
      </c>
      <c r="H39" s="39" t="s">
        <v>218</v>
      </c>
      <c r="I39" s="39" t="s">
        <v>219</v>
      </c>
    </row>
    <row r="40" spans="1:9">
      <c r="A40" s="38">
        <v>39</v>
      </c>
      <c r="B40" s="15">
        <v>186</v>
      </c>
      <c r="C40" s="39" t="s">
        <v>7</v>
      </c>
      <c r="D40" s="39" t="s">
        <v>7</v>
      </c>
      <c r="E40" s="39" t="s">
        <v>7</v>
      </c>
      <c r="F40" s="39" t="s">
        <v>7</v>
      </c>
      <c r="G40" s="39" t="s">
        <v>7</v>
      </c>
      <c r="H40" s="39" t="s">
        <v>7</v>
      </c>
      <c r="I40" s="39" t="s">
        <v>7</v>
      </c>
    </row>
    <row r="41" spans="1:9">
      <c r="A41" s="38">
        <v>40</v>
      </c>
      <c r="B41" s="15">
        <v>194</v>
      </c>
      <c r="C41" s="39" t="s">
        <v>220</v>
      </c>
      <c r="D41" s="39" t="s">
        <v>221</v>
      </c>
      <c r="E41" s="39" t="s">
        <v>222</v>
      </c>
      <c r="F41" s="39" t="s">
        <v>223</v>
      </c>
      <c r="G41" s="39" t="s">
        <v>224</v>
      </c>
      <c r="H41" s="39" t="s">
        <v>224</v>
      </c>
      <c r="I41" s="39" t="s">
        <v>224</v>
      </c>
    </row>
    <row r="42" spans="1:9">
      <c r="A42" s="38">
        <v>41</v>
      </c>
      <c r="B42" s="15">
        <v>179</v>
      </c>
      <c r="C42" s="39" t="s">
        <v>225</v>
      </c>
      <c r="D42" s="39" t="s">
        <v>225</v>
      </c>
      <c r="E42" s="39" t="s">
        <v>225</v>
      </c>
      <c r="F42" s="39" t="s">
        <v>226</v>
      </c>
      <c r="G42" s="39" t="s">
        <v>227</v>
      </c>
      <c r="H42" s="39" t="s">
        <v>228</v>
      </c>
      <c r="I42" s="39" t="s">
        <v>229</v>
      </c>
    </row>
    <row r="43" spans="1:9">
      <c r="A43" s="38">
        <v>42</v>
      </c>
      <c r="B43" s="15">
        <v>188</v>
      </c>
      <c r="C43" s="39" t="s">
        <v>230</v>
      </c>
      <c r="D43" s="39" t="s">
        <v>231</v>
      </c>
      <c r="E43" s="39" t="s">
        <v>232</v>
      </c>
      <c r="F43" s="39" t="s">
        <v>233</v>
      </c>
      <c r="G43" s="39" t="s">
        <v>234</v>
      </c>
      <c r="H43" s="39" t="s">
        <v>235</v>
      </c>
      <c r="I43" s="39" t="s">
        <v>236</v>
      </c>
    </row>
    <row r="44" spans="1:9">
      <c r="A44" s="38">
        <v>43</v>
      </c>
      <c r="B44" s="15">
        <v>191</v>
      </c>
      <c r="C44" s="39" t="s">
        <v>237</v>
      </c>
      <c r="D44" s="39" t="s">
        <v>238</v>
      </c>
      <c r="E44" s="39" t="s">
        <v>239</v>
      </c>
      <c r="F44" s="39" t="s">
        <v>240</v>
      </c>
      <c r="G44" s="39" t="s">
        <v>241</v>
      </c>
      <c r="H44" s="39" t="s">
        <v>242</v>
      </c>
      <c r="I44" s="39" t="s">
        <v>243</v>
      </c>
    </row>
    <row r="45" spans="1:9">
      <c r="A45" s="38">
        <v>44</v>
      </c>
      <c r="B45" s="15">
        <v>157</v>
      </c>
      <c r="C45" s="39" t="s">
        <v>244</v>
      </c>
      <c r="D45" s="39" t="s">
        <v>245</v>
      </c>
      <c r="E45" s="39" t="s">
        <v>246</v>
      </c>
      <c r="F45" s="39" t="s">
        <v>247</v>
      </c>
      <c r="G45" s="39" t="s">
        <v>248</v>
      </c>
      <c r="H45" s="39" t="s">
        <v>249</v>
      </c>
      <c r="I45" s="39" t="s">
        <v>250</v>
      </c>
    </row>
  </sheetData>
  <conditionalFormatting sqref="C2:I45">
    <cfRule type="containsBlanks" dxfId="34" priority="1">
      <formula>LEN(TRIM(C2))=0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E29DC-1D18-4E1E-A020-162BB8095CE4}">
  <sheetPr>
    <tabColor rgb="FF00B0F0"/>
  </sheetPr>
  <dimension ref="A1:C105"/>
  <sheetViews>
    <sheetView workbookViewId="0"/>
  </sheetViews>
  <sheetFormatPr defaultRowHeight="15"/>
  <cols>
    <col min="1" max="1" width="14.140625" bestFit="1" customWidth="1"/>
    <col min="2" max="2" width="24" customWidth="1"/>
  </cols>
  <sheetData>
    <row r="1" spans="1:3" s="8" customFormat="1">
      <c r="A1" s="8" t="s">
        <v>1198</v>
      </c>
      <c r="B1" s="8" t="s">
        <v>1197</v>
      </c>
      <c r="C1" s="8" t="s">
        <v>1316</v>
      </c>
    </row>
    <row r="2" spans="1:3">
      <c r="A2" t="s">
        <v>1033</v>
      </c>
      <c r="B2" t="s">
        <v>1264</v>
      </c>
      <c r="C2" t="s">
        <v>1265</v>
      </c>
    </row>
    <row r="3" spans="1:3">
      <c r="A3" t="s">
        <v>1032</v>
      </c>
      <c r="B3" t="s">
        <v>1264</v>
      </c>
      <c r="C3" t="s">
        <v>1266</v>
      </c>
    </row>
    <row r="4" spans="1:3">
      <c r="A4" t="s">
        <v>1031</v>
      </c>
      <c r="B4" t="s">
        <v>1264</v>
      </c>
      <c r="C4" t="s">
        <v>1267</v>
      </c>
    </row>
    <row r="5" spans="1:3">
      <c r="A5" t="s">
        <v>1030</v>
      </c>
      <c r="B5" t="s">
        <v>1264</v>
      </c>
      <c r="C5" t="s">
        <v>1268</v>
      </c>
    </row>
    <row r="6" spans="1:3">
      <c r="A6" t="s">
        <v>1029</v>
      </c>
      <c r="B6" t="s">
        <v>1264</v>
      </c>
      <c r="C6" t="s">
        <v>1269</v>
      </c>
    </row>
    <row r="7" spans="1:3">
      <c r="A7" t="s">
        <v>1028</v>
      </c>
      <c r="B7" t="s">
        <v>1264</v>
      </c>
      <c r="C7" t="s">
        <v>1270</v>
      </c>
    </row>
    <row r="8" spans="1:3">
      <c r="A8" t="s">
        <v>1027</v>
      </c>
      <c r="B8" t="s">
        <v>1264</v>
      </c>
      <c r="C8" t="s">
        <v>1271</v>
      </c>
    </row>
    <row r="9" spans="1:3">
      <c r="A9" t="s">
        <v>1026</v>
      </c>
      <c r="B9" t="s">
        <v>1264</v>
      </c>
      <c r="C9" t="s">
        <v>1272</v>
      </c>
    </row>
    <row r="10" spans="1:3">
      <c r="A10" t="s">
        <v>1025</v>
      </c>
      <c r="B10" t="s">
        <v>1264</v>
      </c>
      <c r="C10" t="s">
        <v>1273</v>
      </c>
    </row>
    <row r="11" spans="1:3">
      <c r="A11" t="s">
        <v>1024</v>
      </c>
      <c r="B11" t="s">
        <v>1264</v>
      </c>
      <c r="C11" t="s">
        <v>1274</v>
      </c>
    </row>
    <row r="12" spans="1:3">
      <c r="A12" t="s">
        <v>1023</v>
      </c>
      <c r="B12" t="s">
        <v>1264</v>
      </c>
      <c r="C12" t="s">
        <v>1275</v>
      </c>
    </row>
    <row r="13" spans="1:3">
      <c r="A13" t="s">
        <v>1022</v>
      </c>
      <c r="B13" t="s">
        <v>1264</v>
      </c>
      <c r="C13" t="s">
        <v>1276</v>
      </c>
    </row>
    <row r="14" spans="1:3">
      <c r="A14" t="s">
        <v>1021</v>
      </c>
      <c r="B14" t="s">
        <v>1277</v>
      </c>
      <c r="C14" t="s">
        <v>1265</v>
      </c>
    </row>
    <row r="15" spans="1:3">
      <c r="A15" t="s">
        <v>1020</v>
      </c>
      <c r="B15" t="s">
        <v>1277</v>
      </c>
      <c r="C15" t="s">
        <v>1266</v>
      </c>
    </row>
    <row r="16" spans="1:3">
      <c r="A16" t="s">
        <v>1019</v>
      </c>
      <c r="B16" t="s">
        <v>1277</v>
      </c>
      <c r="C16" t="s">
        <v>1267</v>
      </c>
    </row>
    <row r="17" spans="1:3">
      <c r="A17" t="s">
        <v>1018</v>
      </c>
      <c r="B17" t="s">
        <v>1277</v>
      </c>
      <c r="C17" t="s">
        <v>1268</v>
      </c>
    </row>
    <row r="18" spans="1:3">
      <c r="A18" t="s">
        <v>1017</v>
      </c>
      <c r="B18" t="s">
        <v>1277</v>
      </c>
      <c r="C18" t="s">
        <v>1269</v>
      </c>
    </row>
    <row r="19" spans="1:3">
      <c r="A19" t="s">
        <v>1016</v>
      </c>
      <c r="B19" t="s">
        <v>1277</v>
      </c>
      <c r="C19" t="s">
        <v>1270</v>
      </c>
    </row>
    <row r="20" spans="1:3">
      <c r="A20" t="s">
        <v>1015</v>
      </c>
      <c r="B20" t="s">
        <v>1277</v>
      </c>
      <c r="C20" t="s">
        <v>1271</v>
      </c>
    </row>
    <row r="21" spans="1:3">
      <c r="A21" t="s">
        <v>1014</v>
      </c>
      <c r="B21" t="s">
        <v>1277</v>
      </c>
      <c r="C21" t="s">
        <v>1272</v>
      </c>
    </row>
    <row r="22" spans="1:3">
      <c r="A22" t="s">
        <v>1013</v>
      </c>
      <c r="B22" t="s">
        <v>1277</v>
      </c>
      <c r="C22" t="s">
        <v>1273</v>
      </c>
    </row>
    <row r="23" spans="1:3">
      <c r="A23" t="s">
        <v>1012</v>
      </c>
      <c r="B23" t="s">
        <v>1277</v>
      </c>
      <c r="C23" t="s">
        <v>1274</v>
      </c>
    </row>
    <row r="24" spans="1:3">
      <c r="A24" t="s">
        <v>1011</v>
      </c>
      <c r="B24" t="s">
        <v>1277</v>
      </c>
      <c r="C24" t="s">
        <v>1275</v>
      </c>
    </row>
    <row r="25" spans="1:3">
      <c r="A25" t="s">
        <v>1010</v>
      </c>
      <c r="B25" t="s">
        <v>1277</v>
      </c>
      <c r="C25" t="s">
        <v>1276</v>
      </c>
    </row>
    <row r="26" spans="1:3">
      <c r="A26" t="s">
        <v>1009</v>
      </c>
      <c r="B26" t="s">
        <v>1278</v>
      </c>
      <c r="C26" t="s">
        <v>1265</v>
      </c>
    </row>
    <row r="27" spans="1:3">
      <c r="A27" t="s">
        <v>1008</v>
      </c>
      <c r="B27" t="s">
        <v>1278</v>
      </c>
      <c r="C27" t="s">
        <v>1266</v>
      </c>
    </row>
    <row r="28" spans="1:3">
      <c r="A28" t="s">
        <v>1007</v>
      </c>
      <c r="B28" t="s">
        <v>1278</v>
      </c>
      <c r="C28" t="s">
        <v>1267</v>
      </c>
    </row>
    <row r="29" spans="1:3">
      <c r="A29" t="s">
        <v>1006</v>
      </c>
      <c r="B29" t="s">
        <v>1278</v>
      </c>
      <c r="C29" t="s">
        <v>1268</v>
      </c>
    </row>
    <row r="30" spans="1:3">
      <c r="A30" t="s">
        <v>1005</v>
      </c>
      <c r="B30" t="s">
        <v>1278</v>
      </c>
      <c r="C30" t="s">
        <v>1269</v>
      </c>
    </row>
    <row r="31" spans="1:3">
      <c r="A31" t="s">
        <v>1004</v>
      </c>
      <c r="B31" t="s">
        <v>1278</v>
      </c>
      <c r="C31" t="s">
        <v>1270</v>
      </c>
    </row>
    <row r="32" spans="1:3">
      <c r="A32" t="s">
        <v>1003</v>
      </c>
      <c r="B32" t="s">
        <v>1278</v>
      </c>
      <c r="C32" t="s">
        <v>1271</v>
      </c>
    </row>
    <row r="33" spans="1:3">
      <c r="A33" t="s">
        <v>1002</v>
      </c>
      <c r="B33" t="s">
        <v>1278</v>
      </c>
      <c r="C33" t="s">
        <v>1272</v>
      </c>
    </row>
    <row r="34" spans="1:3">
      <c r="A34" t="s">
        <v>1001</v>
      </c>
      <c r="B34" t="s">
        <v>1278</v>
      </c>
      <c r="C34" t="s">
        <v>1273</v>
      </c>
    </row>
    <row r="35" spans="1:3">
      <c r="A35" t="s">
        <v>1000</v>
      </c>
      <c r="B35" t="s">
        <v>1278</v>
      </c>
      <c r="C35" t="s">
        <v>1274</v>
      </c>
    </row>
    <row r="36" spans="1:3">
      <c r="A36" t="s">
        <v>999</v>
      </c>
      <c r="B36" t="s">
        <v>1278</v>
      </c>
      <c r="C36" t="s">
        <v>1275</v>
      </c>
    </row>
    <row r="37" spans="1:3">
      <c r="A37" t="s">
        <v>998</v>
      </c>
      <c r="B37" t="s">
        <v>1278</v>
      </c>
      <c r="C37" t="s">
        <v>1276</v>
      </c>
    </row>
    <row r="38" spans="1:3">
      <c r="A38" t="s">
        <v>997</v>
      </c>
      <c r="B38" t="s">
        <v>1279</v>
      </c>
      <c r="C38" t="s">
        <v>1265</v>
      </c>
    </row>
    <row r="39" spans="1:3">
      <c r="A39" t="s">
        <v>996</v>
      </c>
      <c r="B39" t="s">
        <v>1279</v>
      </c>
      <c r="C39" t="s">
        <v>1266</v>
      </c>
    </row>
    <row r="40" spans="1:3">
      <c r="A40" t="s">
        <v>995</v>
      </c>
      <c r="B40" t="s">
        <v>1279</v>
      </c>
      <c r="C40" t="s">
        <v>1267</v>
      </c>
    </row>
    <row r="41" spans="1:3">
      <c r="A41" t="s">
        <v>994</v>
      </c>
      <c r="B41" t="s">
        <v>1279</v>
      </c>
      <c r="C41" t="s">
        <v>1268</v>
      </c>
    </row>
    <row r="42" spans="1:3">
      <c r="A42" t="s">
        <v>993</v>
      </c>
      <c r="B42" t="s">
        <v>1279</v>
      </c>
      <c r="C42" t="s">
        <v>1269</v>
      </c>
    </row>
    <row r="43" spans="1:3">
      <c r="A43" t="s">
        <v>992</v>
      </c>
      <c r="B43" t="s">
        <v>1279</v>
      </c>
      <c r="C43" t="s">
        <v>1270</v>
      </c>
    </row>
    <row r="44" spans="1:3">
      <c r="A44" t="s">
        <v>991</v>
      </c>
      <c r="B44" t="s">
        <v>1279</v>
      </c>
      <c r="C44" t="s">
        <v>1271</v>
      </c>
    </row>
    <row r="45" spans="1:3">
      <c r="A45" t="s">
        <v>990</v>
      </c>
      <c r="B45" t="s">
        <v>1279</v>
      </c>
      <c r="C45" t="s">
        <v>1272</v>
      </c>
    </row>
    <row r="46" spans="1:3">
      <c r="A46" t="s">
        <v>989</v>
      </c>
      <c r="B46" t="s">
        <v>1279</v>
      </c>
      <c r="C46" t="s">
        <v>1273</v>
      </c>
    </row>
    <row r="47" spans="1:3">
      <c r="A47" t="s">
        <v>988</v>
      </c>
      <c r="B47" t="s">
        <v>1279</v>
      </c>
      <c r="C47" t="s">
        <v>1274</v>
      </c>
    </row>
    <row r="48" spans="1:3">
      <c r="A48" t="s">
        <v>987</v>
      </c>
      <c r="B48" t="s">
        <v>1279</v>
      </c>
      <c r="C48" t="s">
        <v>1275</v>
      </c>
    </row>
    <row r="49" spans="1:3">
      <c r="A49" t="s">
        <v>986</v>
      </c>
      <c r="B49" t="s">
        <v>1279</v>
      </c>
      <c r="C49" t="s">
        <v>1276</v>
      </c>
    </row>
    <row r="50" spans="1:3">
      <c r="A50" t="s">
        <v>985</v>
      </c>
      <c r="B50" t="s">
        <v>1280</v>
      </c>
      <c r="C50" t="s">
        <v>1281</v>
      </c>
    </row>
    <row r="51" spans="1:3">
      <c r="A51" t="s">
        <v>984</v>
      </c>
      <c r="B51" t="s">
        <v>1280</v>
      </c>
      <c r="C51" t="s">
        <v>1282</v>
      </c>
    </row>
    <row r="52" spans="1:3">
      <c r="A52" t="s">
        <v>983</v>
      </c>
      <c r="B52" t="s">
        <v>1280</v>
      </c>
      <c r="C52" t="s">
        <v>1283</v>
      </c>
    </row>
    <row r="53" spans="1:3">
      <c r="A53" t="s">
        <v>982</v>
      </c>
      <c r="B53" t="s">
        <v>1280</v>
      </c>
      <c r="C53" t="s">
        <v>1284</v>
      </c>
    </row>
    <row r="54" spans="1:3">
      <c r="A54" t="s">
        <v>981</v>
      </c>
      <c r="B54" t="s">
        <v>1280</v>
      </c>
      <c r="C54" t="s">
        <v>1285</v>
      </c>
    </row>
    <row r="55" spans="1:3">
      <c r="A55" t="s">
        <v>980</v>
      </c>
      <c r="B55" t="s">
        <v>1280</v>
      </c>
      <c r="C55" t="s">
        <v>1286</v>
      </c>
    </row>
    <row r="56" spans="1:3">
      <c r="A56" t="s">
        <v>979</v>
      </c>
      <c r="B56" t="s">
        <v>1287</v>
      </c>
      <c r="C56" t="s">
        <v>1288</v>
      </c>
    </row>
    <row r="57" spans="1:3">
      <c r="A57" t="s">
        <v>978</v>
      </c>
      <c r="B57" t="s">
        <v>1287</v>
      </c>
      <c r="C57" t="s">
        <v>1289</v>
      </c>
    </row>
    <row r="58" spans="1:3">
      <c r="A58" t="s">
        <v>977</v>
      </c>
      <c r="B58" t="s">
        <v>1287</v>
      </c>
      <c r="C58" t="s">
        <v>1290</v>
      </c>
    </row>
    <row r="59" spans="1:3">
      <c r="A59" t="s">
        <v>976</v>
      </c>
      <c r="B59" t="s">
        <v>1287</v>
      </c>
      <c r="C59" t="s">
        <v>1291</v>
      </c>
    </row>
    <row r="60" spans="1:3">
      <c r="A60" t="s">
        <v>975</v>
      </c>
      <c r="B60" t="s">
        <v>1287</v>
      </c>
      <c r="C60" t="s">
        <v>1292</v>
      </c>
    </row>
    <row r="61" spans="1:3">
      <c r="A61" t="s">
        <v>974</v>
      </c>
      <c r="B61" t="s">
        <v>1287</v>
      </c>
      <c r="C61" t="s">
        <v>1293</v>
      </c>
    </row>
    <row r="62" spans="1:3">
      <c r="A62" t="s">
        <v>973</v>
      </c>
      <c r="B62" t="s">
        <v>1294</v>
      </c>
      <c r="C62" t="s">
        <v>1229</v>
      </c>
    </row>
    <row r="63" spans="1:3">
      <c r="A63" t="s">
        <v>972</v>
      </c>
      <c r="B63" t="s">
        <v>1294</v>
      </c>
      <c r="C63" t="s">
        <v>1230</v>
      </c>
    </row>
    <row r="64" spans="1:3">
      <c r="A64" t="s">
        <v>971</v>
      </c>
      <c r="B64" t="s">
        <v>1294</v>
      </c>
      <c r="C64" t="s">
        <v>1231</v>
      </c>
    </row>
    <row r="65" spans="1:3">
      <c r="A65" t="s">
        <v>970</v>
      </c>
      <c r="B65" t="s">
        <v>1294</v>
      </c>
      <c r="C65" t="s">
        <v>1232</v>
      </c>
    </row>
    <row r="66" spans="1:3">
      <c r="A66" t="s">
        <v>969</v>
      </c>
      <c r="B66" t="s">
        <v>1294</v>
      </c>
      <c r="C66" t="s">
        <v>1233</v>
      </c>
    </row>
    <row r="67" spans="1:3">
      <c r="A67" t="s">
        <v>968</v>
      </c>
      <c r="B67" t="s">
        <v>1294</v>
      </c>
      <c r="C67" t="s">
        <v>1234</v>
      </c>
    </row>
    <row r="68" spans="1:3">
      <c r="A68" t="s">
        <v>967</v>
      </c>
      <c r="B68" t="s">
        <v>1294</v>
      </c>
      <c r="C68" t="s">
        <v>1235</v>
      </c>
    </row>
    <row r="69" spans="1:3">
      <c r="A69" t="s">
        <v>966</v>
      </c>
      <c r="B69" t="s">
        <v>1294</v>
      </c>
      <c r="C69" t="s">
        <v>1236</v>
      </c>
    </row>
    <row r="70" spans="1:3">
      <c r="A70" t="s">
        <v>965</v>
      </c>
      <c r="B70" t="s">
        <v>1294</v>
      </c>
      <c r="C70" t="s">
        <v>1237</v>
      </c>
    </row>
    <row r="71" spans="1:3">
      <c r="A71" t="s">
        <v>964</v>
      </c>
      <c r="B71" t="s">
        <v>1294</v>
      </c>
      <c r="C71" t="s">
        <v>1238</v>
      </c>
    </row>
    <row r="72" spans="1:3">
      <c r="A72" t="s">
        <v>963</v>
      </c>
      <c r="B72" t="s">
        <v>1294</v>
      </c>
      <c r="C72" t="s">
        <v>1295</v>
      </c>
    </row>
    <row r="73" spans="1:3">
      <c r="A73" t="s">
        <v>962</v>
      </c>
      <c r="B73" t="s">
        <v>1294</v>
      </c>
      <c r="C73" t="s">
        <v>1240</v>
      </c>
    </row>
    <row r="74" spans="1:3">
      <c r="A74" t="s">
        <v>961</v>
      </c>
      <c r="B74" t="s">
        <v>1294</v>
      </c>
      <c r="C74" t="s">
        <v>1296</v>
      </c>
    </row>
    <row r="75" spans="1:3">
      <c r="A75" t="s">
        <v>568</v>
      </c>
      <c r="B75" t="s">
        <v>1242</v>
      </c>
    </row>
    <row r="76" spans="1:3">
      <c r="A76" t="s">
        <v>567</v>
      </c>
      <c r="B76" t="s">
        <v>1297</v>
      </c>
    </row>
    <row r="77" spans="1:3">
      <c r="A77" t="s">
        <v>566</v>
      </c>
      <c r="B77" t="s">
        <v>1244</v>
      </c>
    </row>
    <row r="78" spans="1:3">
      <c r="A78" t="s">
        <v>565</v>
      </c>
      <c r="B78" t="s">
        <v>1245</v>
      </c>
    </row>
    <row r="79" spans="1:3">
      <c r="A79" t="s">
        <v>564</v>
      </c>
      <c r="B79" t="s">
        <v>1246</v>
      </c>
    </row>
    <row r="80" spans="1:3">
      <c r="A80" t="s">
        <v>563</v>
      </c>
      <c r="B80" t="s">
        <v>1247</v>
      </c>
    </row>
    <row r="81" spans="1:3">
      <c r="A81" t="s">
        <v>562</v>
      </c>
      <c r="B81" t="s">
        <v>1248</v>
      </c>
    </row>
    <row r="82" spans="1:3">
      <c r="A82" t="s">
        <v>561</v>
      </c>
      <c r="B82" t="s">
        <v>1249</v>
      </c>
    </row>
    <row r="83" spans="1:3">
      <c r="A83" t="s">
        <v>560</v>
      </c>
      <c r="B83" t="s">
        <v>1250</v>
      </c>
    </row>
    <row r="84" spans="1:3">
      <c r="A84" t="s">
        <v>388</v>
      </c>
      <c r="B84" t="s">
        <v>1251</v>
      </c>
    </row>
    <row r="85" spans="1:3">
      <c r="A85" t="s">
        <v>559</v>
      </c>
      <c r="B85" t="s">
        <v>1252</v>
      </c>
    </row>
    <row r="86" spans="1:3">
      <c r="A86" t="s">
        <v>558</v>
      </c>
      <c r="B86" t="s">
        <v>1298</v>
      </c>
    </row>
    <row r="87" spans="1:3">
      <c r="A87" t="s">
        <v>960</v>
      </c>
      <c r="B87" t="s">
        <v>1299</v>
      </c>
      <c r="C87" t="s">
        <v>1300</v>
      </c>
    </row>
    <row r="88" spans="1:3">
      <c r="A88" t="s">
        <v>959</v>
      </c>
      <c r="B88" t="s">
        <v>1299</v>
      </c>
      <c r="C88" t="s">
        <v>1301</v>
      </c>
    </row>
    <row r="89" spans="1:3">
      <c r="A89" t="s">
        <v>958</v>
      </c>
      <c r="B89" t="s">
        <v>1299</v>
      </c>
      <c r="C89" t="s">
        <v>1302</v>
      </c>
    </row>
    <row r="90" spans="1:3">
      <c r="A90" t="s">
        <v>957</v>
      </c>
      <c r="B90" t="s">
        <v>1299</v>
      </c>
      <c r="C90" t="s">
        <v>1303</v>
      </c>
    </row>
    <row r="91" spans="1:3">
      <c r="A91" t="s">
        <v>952</v>
      </c>
      <c r="B91" t="s">
        <v>1304</v>
      </c>
    </row>
    <row r="92" spans="1:3">
      <c r="A92" t="s">
        <v>951</v>
      </c>
      <c r="B92" t="s">
        <v>1305</v>
      </c>
    </row>
    <row r="93" spans="1:3">
      <c r="A93" t="s">
        <v>956</v>
      </c>
      <c r="B93" t="s">
        <v>1306</v>
      </c>
      <c r="C93" t="s">
        <v>1300</v>
      </c>
    </row>
    <row r="94" spans="1:3">
      <c r="A94" t="s">
        <v>955</v>
      </c>
      <c r="B94" t="s">
        <v>1306</v>
      </c>
      <c r="C94" t="s">
        <v>1301</v>
      </c>
    </row>
    <row r="95" spans="1:3">
      <c r="A95" t="s">
        <v>954</v>
      </c>
      <c r="B95" t="s">
        <v>1306</v>
      </c>
      <c r="C95" t="s">
        <v>1302</v>
      </c>
    </row>
    <row r="96" spans="1:3">
      <c r="A96" t="s">
        <v>953</v>
      </c>
      <c r="B96" t="s">
        <v>1306</v>
      </c>
      <c r="C96" t="s">
        <v>1303</v>
      </c>
    </row>
    <row r="97" spans="1:2">
      <c r="A97" t="s">
        <v>950</v>
      </c>
      <c r="B97" t="s">
        <v>1307</v>
      </c>
    </row>
    <row r="98" spans="1:2">
      <c r="A98" t="s">
        <v>949</v>
      </c>
      <c r="B98" t="s">
        <v>1308</v>
      </c>
    </row>
    <row r="99" spans="1:2">
      <c r="A99" t="s">
        <v>948</v>
      </c>
      <c r="B99" t="s">
        <v>1309</v>
      </c>
    </row>
    <row r="100" spans="1:2">
      <c r="A100" t="s">
        <v>947</v>
      </c>
      <c r="B100" t="s">
        <v>1310</v>
      </c>
    </row>
    <row r="101" spans="1:2">
      <c r="A101" t="s">
        <v>946</v>
      </c>
      <c r="B101" t="s">
        <v>1311</v>
      </c>
    </row>
    <row r="102" spans="1:2">
      <c r="A102" t="s">
        <v>945</v>
      </c>
      <c r="B102" t="s">
        <v>1312</v>
      </c>
    </row>
    <row r="103" spans="1:2">
      <c r="A103" t="s">
        <v>944</v>
      </c>
      <c r="B103" t="s">
        <v>1313</v>
      </c>
    </row>
    <row r="104" spans="1:2">
      <c r="A104" t="s">
        <v>534</v>
      </c>
      <c r="B104" t="s">
        <v>1314</v>
      </c>
    </row>
    <row r="105" spans="1:2">
      <c r="A105" t="s">
        <v>943</v>
      </c>
      <c r="B105" t="s">
        <v>1315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C07E5-1B3E-4595-95B9-394F8381D1E4}">
  <dimension ref="A1:E155"/>
  <sheetViews>
    <sheetView workbookViewId="0"/>
  </sheetViews>
  <sheetFormatPr defaultColWidth="9.140625" defaultRowHeight="15"/>
  <cols>
    <col min="1" max="1" width="9.140625" style="3"/>
    <col min="2" max="2" width="32.85546875" style="3" customWidth="1"/>
    <col min="3" max="3" width="19.140625" style="7" customWidth="1"/>
    <col min="4" max="4" width="31" style="7" customWidth="1"/>
    <col min="5" max="16384" width="9.140625" style="3"/>
  </cols>
  <sheetData>
    <row r="1" spans="1:4">
      <c r="A1" s="23" t="s">
        <v>572</v>
      </c>
      <c r="B1" s="23" t="s">
        <v>571</v>
      </c>
    </row>
    <row r="2" spans="1:4">
      <c r="A2" s="23"/>
      <c r="B2" s="23"/>
    </row>
    <row r="3" spans="1:4" ht="30">
      <c r="A3" s="1" t="s">
        <v>353</v>
      </c>
      <c r="B3" s="2" t="s">
        <v>354</v>
      </c>
      <c r="C3" s="2" t="s">
        <v>355</v>
      </c>
      <c r="D3" s="2" t="s">
        <v>356</v>
      </c>
    </row>
    <row r="4" spans="1:4">
      <c r="A4" s="1"/>
      <c r="B4" s="17" t="s">
        <v>570</v>
      </c>
      <c r="C4" s="2"/>
      <c r="D4" s="2"/>
    </row>
    <row r="5" spans="1:4">
      <c r="A5">
        <v>0</v>
      </c>
      <c r="B5" s="5" t="s">
        <v>358</v>
      </c>
      <c r="C5" s="2"/>
      <c r="D5" s="2"/>
    </row>
    <row r="6" spans="1:4">
      <c r="A6">
        <v>1</v>
      </c>
      <c r="B6" s="5" t="s">
        <v>359</v>
      </c>
      <c r="C6" s="2"/>
      <c r="D6" s="2"/>
    </row>
    <row r="7" spans="1:4">
      <c r="A7">
        <v>2</v>
      </c>
      <c r="B7" s="6" t="s">
        <v>360</v>
      </c>
      <c r="C7" s="2"/>
      <c r="D7" s="2"/>
    </row>
    <row r="8" spans="1:4">
      <c r="A8">
        <v>3</v>
      </c>
      <c r="B8" s="6" t="s">
        <v>361</v>
      </c>
      <c r="C8" s="2"/>
      <c r="D8" s="2"/>
    </row>
    <row r="9" spans="1:4">
      <c r="A9">
        <v>4</v>
      </c>
      <c r="B9" s="6" t="s">
        <v>362</v>
      </c>
      <c r="C9" s="2"/>
      <c r="D9" s="2"/>
    </row>
    <row r="10" spans="1:4">
      <c r="A10">
        <v>5</v>
      </c>
      <c r="B10" s="6" t="s">
        <v>363</v>
      </c>
      <c r="C10" s="2"/>
      <c r="D10" s="2"/>
    </row>
    <row r="11" spans="1:4" ht="30">
      <c r="A11" s="1"/>
      <c r="B11" s="17" t="s">
        <v>569</v>
      </c>
      <c r="C11" s="7" t="s">
        <v>364</v>
      </c>
    </row>
    <row r="12" spans="1:4">
      <c r="A12" s="3">
        <v>0</v>
      </c>
      <c r="B12" s="3" t="s">
        <v>365</v>
      </c>
    </row>
    <row r="13" spans="1:4">
      <c r="A13" s="3">
        <v>1</v>
      </c>
      <c r="B13" t="s">
        <v>486</v>
      </c>
    </row>
    <row r="14" spans="1:4">
      <c r="A14" s="3">
        <v>2</v>
      </c>
      <c r="B14" t="s">
        <v>487</v>
      </c>
    </row>
    <row r="15" spans="1:4">
      <c r="A15" s="3">
        <v>3</v>
      </c>
      <c r="B15" t="s">
        <v>488</v>
      </c>
    </row>
    <row r="16" spans="1:4">
      <c r="A16" s="3">
        <v>4</v>
      </c>
      <c r="B16" t="s">
        <v>489</v>
      </c>
    </row>
    <row r="17" spans="1:4">
      <c r="A17" s="3">
        <v>5</v>
      </c>
      <c r="B17" t="s">
        <v>491</v>
      </c>
    </row>
    <row r="19" spans="1:4" ht="30">
      <c r="B19" s="17" t="s">
        <v>568</v>
      </c>
      <c r="C19" s="7" t="s">
        <v>428</v>
      </c>
      <c r="D19" s="7" t="s">
        <v>429</v>
      </c>
    </row>
    <row r="20" spans="1:4" ht="45">
      <c r="A20" s="8">
        <v>1</v>
      </c>
      <c r="B20" s="9" t="s">
        <v>430</v>
      </c>
    </row>
    <row r="21" spans="1:4">
      <c r="A21" s="3">
        <v>0</v>
      </c>
      <c r="B21" s="10" t="s">
        <v>431</v>
      </c>
    </row>
    <row r="22" spans="1:4">
      <c r="A22" s="3">
        <v>0</v>
      </c>
      <c r="B22" s="10" t="s">
        <v>432</v>
      </c>
    </row>
    <row r="23" spans="1:4">
      <c r="A23" s="3">
        <v>0</v>
      </c>
      <c r="B23" s="10" t="s">
        <v>433</v>
      </c>
    </row>
    <row r="25" spans="1:4">
      <c r="B25" s="17" t="s">
        <v>567</v>
      </c>
    </row>
    <row r="26" spans="1:4">
      <c r="A26" s="3">
        <v>0</v>
      </c>
      <c r="B26" s="3" t="s">
        <v>435</v>
      </c>
    </row>
    <row r="27" spans="1:4">
      <c r="A27" s="3">
        <v>0</v>
      </c>
      <c r="B27" s="3" t="s">
        <v>436</v>
      </c>
    </row>
    <row r="28" spans="1:4">
      <c r="A28" s="3">
        <v>0</v>
      </c>
      <c r="B28" s="3" t="s">
        <v>437</v>
      </c>
    </row>
    <row r="29" spans="1:4">
      <c r="A29" s="8">
        <v>1</v>
      </c>
      <c r="B29" s="8" t="s">
        <v>438</v>
      </c>
    </row>
    <row r="31" spans="1:4">
      <c r="B31" s="17" t="s">
        <v>566</v>
      </c>
    </row>
    <row r="32" spans="1:4">
      <c r="A32" s="3">
        <v>0</v>
      </c>
      <c r="B32" s="10" t="s">
        <v>440</v>
      </c>
    </row>
    <row r="33" spans="1:2">
      <c r="A33" s="3">
        <v>0</v>
      </c>
      <c r="B33" s="11" t="s">
        <v>441</v>
      </c>
    </row>
    <row r="34" spans="1:2">
      <c r="A34" s="3">
        <v>0</v>
      </c>
      <c r="B34" s="10" t="s">
        <v>442</v>
      </c>
    </row>
    <row r="35" spans="1:2">
      <c r="A35" s="3">
        <v>1</v>
      </c>
      <c r="B35" s="12" t="s">
        <v>443</v>
      </c>
    </row>
    <row r="37" spans="1:2">
      <c r="B37" s="17" t="s">
        <v>565</v>
      </c>
    </row>
    <row r="38" spans="1:2">
      <c r="A38" s="3">
        <v>0</v>
      </c>
      <c r="B38" s="10" t="s">
        <v>445</v>
      </c>
    </row>
    <row r="39" spans="1:2">
      <c r="A39" s="3">
        <v>0</v>
      </c>
      <c r="B39" s="11" t="s">
        <v>446</v>
      </c>
    </row>
    <row r="40" spans="1:2">
      <c r="A40" s="3">
        <v>1</v>
      </c>
      <c r="B40" s="12" t="s">
        <v>447</v>
      </c>
    </row>
    <row r="41" spans="1:2">
      <c r="A41" s="3">
        <v>0</v>
      </c>
      <c r="B41" s="10" t="s">
        <v>448</v>
      </c>
    </row>
    <row r="43" spans="1:2">
      <c r="B43" s="17" t="s">
        <v>564</v>
      </c>
    </row>
    <row r="44" spans="1:2">
      <c r="A44" s="3">
        <v>0</v>
      </c>
      <c r="B44" s="10" t="s">
        <v>450</v>
      </c>
    </row>
    <row r="45" spans="1:2" ht="45">
      <c r="A45" s="3">
        <v>0</v>
      </c>
      <c r="B45" s="10" t="s">
        <v>451</v>
      </c>
    </row>
    <row r="46" spans="1:2">
      <c r="A46" s="3">
        <v>1</v>
      </c>
      <c r="B46" s="12" t="s">
        <v>452</v>
      </c>
    </row>
    <row r="47" spans="1:2">
      <c r="A47" s="3">
        <v>0</v>
      </c>
      <c r="B47" s="10" t="s">
        <v>453</v>
      </c>
    </row>
    <row r="49" spans="1:2">
      <c r="B49" s="17" t="s">
        <v>563</v>
      </c>
    </row>
    <row r="50" spans="1:2" ht="30">
      <c r="A50" s="3">
        <v>1</v>
      </c>
      <c r="B50" s="12" t="s">
        <v>455</v>
      </c>
    </row>
    <row r="51" spans="1:2" ht="30">
      <c r="A51" s="3">
        <v>0</v>
      </c>
      <c r="B51" s="10" t="s">
        <v>456</v>
      </c>
    </row>
    <row r="52" spans="1:2" ht="30">
      <c r="A52" s="3">
        <v>0</v>
      </c>
      <c r="B52" s="10" t="s">
        <v>457</v>
      </c>
    </row>
    <row r="53" spans="1:2" ht="30">
      <c r="A53" s="3">
        <v>0</v>
      </c>
      <c r="B53" s="10" t="s">
        <v>458</v>
      </c>
    </row>
    <row r="55" spans="1:2">
      <c r="B55" s="17" t="s">
        <v>562</v>
      </c>
    </row>
    <row r="56" spans="1:2">
      <c r="A56" s="3">
        <v>1</v>
      </c>
      <c r="B56" s="12" t="s">
        <v>460</v>
      </c>
    </row>
    <row r="57" spans="1:2">
      <c r="A57" s="3">
        <v>0</v>
      </c>
      <c r="B57" s="10" t="s">
        <v>461</v>
      </c>
    </row>
    <row r="58" spans="1:2">
      <c r="A58" s="3">
        <v>0</v>
      </c>
      <c r="B58" s="10" t="s">
        <v>462</v>
      </c>
    </row>
    <row r="59" spans="1:2">
      <c r="A59" s="3">
        <v>0</v>
      </c>
      <c r="B59" s="10" t="s">
        <v>463</v>
      </c>
    </row>
    <row r="61" spans="1:2">
      <c r="B61" s="17" t="s">
        <v>561</v>
      </c>
    </row>
    <row r="62" spans="1:2">
      <c r="A62" s="3">
        <v>0</v>
      </c>
      <c r="B62" s="10" t="s">
        <v>465</v>
      </c>
    </row>
    <row r="63" spans="1:2" ht="30">
      <c r="A63" s="3">
        <v>1</v>
      </c>
      <c r="B63" s="12" t="s">
        <v>466</v>
      </c>
    </row>
    <row r="64" spans="1:2">
      <c r="A64" s="3">
        <v>0</v>
      </c>
      <c r="B64" s="10" t="s">
        <v>467</v>
      </c>
    </row>
    <row r="65" spans="1:2">
      <c r="A65" s="3">
        <v>0</v>
      </c>
      <c r="B65" s="10" t="s">
        <v>468</v>
      </c>
    </row>
    <row r="67" spans="1:2">
      <c r="B67" s="17" t="s">
        <v>560</v>
      </c>
    </row>
    <row r="68" spans="1:2">
      <c r="A68" s="3">
        <v>0</v>
      </c>
      <c r="B68" s="10" t="s">
        <v>470</v>
      </c>
    </row>
    <row r="69" spans="1:2">
      <c r="A69" s="3">
        <v>1</v>
      </c>
      <c r="B69" s="12" t="s">
        <v>471</v>
      </c>
    </row>
    <row r="70" spans="1:2">
      <c r="A70" s="3">
        <v>0</v>
      </c>
      <c r="B70" s="10" t="s">
        <v>472</v>
      </c>
    </row>
    <row r="71" spans="1:2">
      <c r="A71" s="3">
        <v>0</v>
      </c>
      <c r="B71" s="10" t="s">
        <v>473</v>
      </c>
    </row>
    <row r="73" spans="1:2">
      <c r="B73" s="17" t="s">
        <v>388</v>
      </c>
    </row>
    <row r="74" spans="1:2">
      <c r="A74" s="3">
        <v>0</v>
      </c>
      <c r="B74" s="11" t="s">
        <v>475</v>
      </c>
    </row>
    <row r="75" spans="1:2">
      <c r="A75" s="3">
        <v>0</v>
      </c>
      <c r="B75" s="10" t="s">
        <v>476</v>
      </c>
    </row>
    <row r="76" spans="1:2">
      <c r="A76" s="3">
        <v>1</v>
      </c>
      <c r="B76" s="12" t="s">
        <v>477</v>
      </c>
    </row>
    <row r="77" spans="1:2">
      <c r="A77" s="3">
        <v>0</v>
      </c>
      <c r="B77" s="10" t="s">
        <v>478</v>
      </c>
    </row>
    <row r="79" spans="1:2">
      <c r="B79" s="17" t="s">
        <v>559</v>
      </c>
    </row>
    <row r="80" spans="1:2">
      <c r="A80" s="3">
        <v>0</v>
      </c>
      <c r="B80" s="10" t="s">
        <v>480</v>
      </c>
    </row>
    <row r="81" spans="1:5">
      <c r="A81" s="3">
        <v>1</v>
      </c>
      <c r="B81" s="12" t="s">
        <v>481</v>
      </c>
    </row>
    <row r="82" spans="1:5">
      <c r="A82" s="3">
        <v>0</v>
      </c>
      <c r="B82" s="10" t="s">
        <v>482</v>
      </c>
    </row>
    <row r="83" spans="1:5">
      <c r="A83" s="3">
        <v>0</v>
      </c>
      <c r="B83" s="10" t="s">
        <v>483</v>
      </c>
    </row>
    <row r="85" spans="1:5">
      <c r="B85" s="17" t="s">
        <v>558</v>
      </c>
    </row>
    <row r="86" spans="1:5">
      <c r="A86">
        <v>0</v>
      </c>
      <c r="B86" t="s">
        <v>358</v>
      </c>
    </row>
    <row r="87" spans="1:5">
      <c r="A87">
        <v>1</v>
      </c>
      <c r="B87" t="s">
        <v>557</v>
      </c>
    </row>
    <row r="88" spans="1:5">
      <c r="A88">
        <v>2</v>
      </c>
      <c r="B88" t="s">
        <v>556</v>
      </c>
    </row>
    <row r="89" spans="1:5">
      <c r="A89">
        <v>3</v>
      </c>
      <c r="B89" t="s">
        <v>555</v>
      </c>
    </row>
    <row r="90" spans="1:5">
      <c r="A90">
        <v>4</v>
      </c>
      <c r="B90" t="s">
        <v>554</v>
      </c>
    </row>
    <row r="91" spans="1:5">
      <c r="A91">
        <v>5</v>
      </c>
      <c r="B91" t="s">
        <v>553</v>
      </c>
    </row>
    <row r="93" spans="1:5" ht="98.45" customHeight="1">
      <c r="B93" s="17" t="s">
        <v>552</v>
      </c>
      <c r="C93" s="21" t="s">
        <v>548</v>
      </c>
      <c r="D93" s="59"/>
      <c r="E93" s="59"/>
    </row>
    <row r="94" spans="1:5" ht="14.1" customHeight="1">
      <c r="A94">
        <v>0</v>
      </c>
      <c r="B94" s="6" t="s">
        <v>358</v>
      </c>
      <c r="C94" s="22"/>
      <c r="D94" s="22"/>
    </row>
    <row r="95" spans="1:5">
      <c r="A95">
        <v>1</v>
      </c>
      <c r="B95" s="16" t="s">
        <v>547</v>
      </c>
    </row>
    <row r="96" spans="1:5">
      <c r="A96">
        <v>2</v>
      </c>
      <c r="B96" s="6" t="s">
        <v>546</v>
      </c>
    </row>
    <row r="97" spans="1:3">
      <c r="A97">
        <v>3</v>
      </c>
      <c r="B97" s="6" t="s">
        <v>545</v>
      </c>
    </row>
    <row r="98" spans="1:3">
      <c r="A98">
        <v>4</v>
      </c>
      <c r="B98" t="s">
        <v>544</v>
      </c>
    </row>
    <row r="99" spans="1:3">
      <c r="B99" s="4"/>
    </row>
    <row r="100" spans="1:3" ht="75">
      <c r="B100" s="17" t="s">
        <v>551</v>
      </c>
      <c r="C100" s="21" t="s">
        <v>548</v>
      </c>
    </row>
    <row r="101" spans="1:3">
      <c r="A101">
        <v>0</v>
      </c>
      <c r="B101" s="6" t="s">
        <v>358</v>
      </c>
    </row>
    <row r="102" spans="1:3">
      <c r="A102">
        <v>1</v>
      </c>
      <c r="B102" s="16" t="s">
        <v>547</v>
      </c>
    </row>
    <row r="103" spans="1:3">
      <c r="A103">
        <v>2</v>
      </c>
      <c r="B103" s="6" t="s">
        <v>546</v>
      </c>
    </row>
    <row r="104" spans="1:3">
      <c r="A104">
        <v>3</v>
      </c>
      <c r="B104" s="6" t="s">
        <v>545</v>
      </c>
    </row>
    <row r="105" spans="1:3">
      <c r="A105">
        <v>4</v>
      </c>
      <c r="B105" t="s">
        <v>544</v>
      </c>
    </row>
    <row r="106" spans="1:3">
      <c r="B106" s="10"/>
    </row>
    <row r="107" spans="1:3" ht="75">
      <c r="B107" s="17" t="s">
        <v>550</v>
      </c>
      <c r="C107" s="21" t="s">
        <v>548</v>
      </c>
    </row>
    <row r="108" spans="1:3">
      <c r="A108">
        <v>0</v>
      </c>
      <c r="B108" s="6" t="s">
        <v>358</v>
      </c>
    </row>
    <row r="109" spans="1:3">
      <c r="A109">
        <v>1</v>
      </c>
      <c r="B109" s="16" t="s">
        <v>547</v>
      </c>
    </row>
    <row r="110" spans="1:3">
      <c r="A110">
        <v>2</v>
      </c>
      <c r="B110" s="6" t="s">
        <v>546</v>
      </c>
    </row>
    <row r="111" spans="1:3">
      <c r="A111">
        <v>3</v>
      </c>
      <c r="B111" s="6" t="s">
        <v>545</v>
      </c>
    </row>
    <row r="112" spans="1:3">
      <c r="A112">
        <v>4</v>
      </c>
      <c r="B112" t="s">
        <v>544</v>
      </c>
    </row>
    <row r="113" spans="1:3">
      <c r="B113" s="10"/>
    </row>
    <row r="114" spans="1:3" ht="75">
      <c r="B114" s="17" t="s">
        <v>549</v>
      </c>
      <c r="C114" s="21" t="s">
        <v>548</v>
      </c>
    </row>
    <row r="115" spans="1:3">
      <c r="A115">
        <v>0</v>
      </c>
      <c r="B115" s="6" t="s">
        <v>358</v>
      </c>
    </row>
    <row r="116" spans="1:3">
      <c r="A116">
        <v>1</v>
      </c>
      <c r="B116" s="16" t="s">
        <v>547</v>
      </c>
    </row>
    <row r="117" spans="1:3">
      <c r="A117">
        <v>2</v>
      </c>
      <c r="B117" s="6" t="s">
        <v>546</v>
      </c>
    </row>
    <row r="118" spans="1:3">
      <c r="A118">
        <v>3</v>
      </c>
      <c r="B118" s="6" t="s">
        <v>545</v>
      </c>
    </row>
    <row r="119" spans="1:3">
      <c r="A119">
        <v>4</v>
      </c>
      <c r="B119" t="s">
        <v>544</v>
      </c>
    </row>
    <row r="120" spans="1:3">
      <c r="B120" s="10"/>
    </row>
    <row r="121" spans="1:3" ht="75">
      <c r="B121" s="17" t="s">
        <v>543</v>
      </c>
      <c r="C121" s="21" t="s">
        <v>539</v>
      </c>
    </row>
    <row r="122" spans="1:3">
      <c r="A122">
        <v>0</v>
      </c>
      <c r="B122" s="6" t="s">
        <v>358</v>
      </c>
    </row>
    <row r="123" spans="1:3">
      <c r="A123">
        <v>1</v>
      </c>
      <c r="B123" s="16" t="s">
        <v>538</v>
      </c>
    </row>
    <row r="124" spans="1:3">
      <c r="A124">
        <v>2</v>
      </c>
      <c r="B124" s="6" t="s">
        <v>537</v>
      </c>
    </row>
    <row r="125" spans="1:3">
      <c r="A125">
        <v>3</v>
      </c>
      <c r="B125" s="6" t="s">
        <v>536</v>
      </c>
    </row>
    <row r="126" spans="1:3">
      <c r="A126">
        <v>4</v>
      </c>
      <c r="B126" t="s">
        <v>535</v>
      </c>
    </row>
    <row r="127" spans="1:3">
      <c r="B127" s="4"/>
    </row>
    <row r="128" spans="1:3" ht="75">
      <c r="B128" s="17" t="s">
        <v>542</v>
      </c>
      <c r="C128" s="21" t="s">
        <v>539</v>
      </c>
    </row>
    <row r="129" spans="1:3">
      <c r="A129">
        <v>0</v>
      </c>
      <c r="B129" s="6" t="s">
        <v>358</v>
      </c>
    </row>
    <row r="130" spans="1:3">
      <c r="A130">
        <v>1</v>
      </c>
      <c r="B130" s="16" t="s">
        <v>538</v>
      </c>
    </row>
    <row r="131" spans="1:3">
      <c r="A131">
        <v>2</v>
      </c>
      <c r="B131" s="6" t="s">
        <v>537</v>
      </c>
    </row>
    <row r="132" spans="1:3">
      <c r="A132">
        <v>3</v>
      </c>
      <c r="B132" s="6" t="s">
        <v>536</v>
      </c>
    </row>
    <row r="133" spans="1:3">
      <c r="A133">
        <v>4</v>
      </c>
      <c r="B133" t="s">
        <v>535</v>
      </c>
    </row>
    <row r="134" spans="1:3">
      <c r="B134" s="10"/>
    </row>
    <row r="135" spans="1:3" ht="75">
      <c r="B135" s="17" t="s">
        <v>541</v>
      </c>
      <c r="C135" s="21" t="s">
        <v>539</v>
      </c>
    </row>
    <row r="136" spans="1:3">
      <c r="A136">
        <v>0</v>
      </c>
      <c r="B136" s="6" t="s">
        <v>358</v>
      </c>
    </row>
    <row r="137" spans="1:3">
      <c r="A137">
        <v>1</v>
      </c>
      <c r="B137" s="16" t="s">
        <v>538</v>
      </c>
    </row>
    <row r="138" spans="1:3">
      <c r="A138">
        <v>2</v>
      </c>
      <c r="B138" s="6" t="s">
        <v>537</v>
      </c>
    </row>
    <row r="139" spans="1:3">
      <c r="A139">
        <v>3</v>
      </c>
      <c r="B139" s="6" t="s">
        <v>536</v>
      </c>
    </row>
    <row r="140" spans="1:3">
      <c r="A140">
        <v>4</v>
      </c>
      <c r="B140" t="s">
        <v>535</v>
      </c>
    </row>
    <row r="141" spans="1:3">
      <c r="B141" s="10"/>
    </row>
    <row r="142" spans="1:3" ht="75">
      <c r="B142" s="17" t="s">
        <v>540</v>
      </c>
      <c r="C142" s="21" t="s">
        <v>539</v>
      </c>
    </row>
    <row r="143" spans="1:3">
      <c r="A143">
        <v>0</v>
      </c>
      <c r="B143" s="6" t="s">
        <v>358</v>
      </c>
    </row>
    <row r="144" spans="1:3">
      <c r="A144">
        <v>1</v>
      </c>
      <c r="B144" s="16" t="s">
        <v>538</v>
      </c>
    </row>
    <row r="145" spans="1:2">
      <c r="A145">
        <v>2</v>
      </c>
      <c r="B145" s="6" t="s">
        <v>537</v>
      </c>
    </row>
    <row r="146" spans="1:2">
      <c r="A146">
        <v>3</v>
      </c>
      <c r="B146" s="6" t="s">
        <v>536</v>
      </c>
    </row>
    <row r="147" spans="1:2">
      <c r="A147">
        <v>4</v>
      </c>
      <c r="B147" t="s">
        <v>535</v>
      </c>
    </row>
    <row r="149" spans="1:2">
      <c r="B149" s="17" t="s">
        <v>534</v>
      </c>
    </row>
    <row r="150" spans="1:2">
      <c r="A150" s="3">
        <v>0</v>
      </c>
      <c r="B150" t="s">
        <v>533</v>
      </c>
    </row>
    <row r="151" spans="1:2">
      <c r="A151" s="3">
        <v>1</v>
      </c>
      <c r="B151" t="s">
        <v>493</v>
      </c>
    </row>
    <row r="152" spans="1:2">
      <c r="A152" s="3">
        <v>2</v>
      </c>
      <c r="B152" t="s">
        <v>490</v>
      </c>
    </row>
    <row r="153" spans="1:2">
      <c r="A153">
        <v>3</v>
      </c>
      <c r="B153" t="s">
        <v>492</v>
      </c>
    </row>
    <row r="154" spans="1:2">
      <c r="A154">
        <v>4</v>
      </c>
      <c r="B154" t="s">
        <v>494</v>
      </c>
    </row>
    <row r="155" spans="1:2">
      <c r="A155">
        <v>5</v>
      </c>
      <c r="B155" t="s">
        <v>532</v>
      </c>
    </row>
  </sheetData>
  <mergeCells count="1">
    <mergeCell ref="D93:E9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38B25-354C-4021-B387-C0DBB34E7514}">
  <dimension ref="A1:CR44"/>
  <sheetViews>
    <sheetView topLeftCell="BN1" zoomScale="90" zoomScaleNormal="90" workbookViewId="0">
      <selection activeCell="C1" sqref="C1"/>
    </sheetView>
  </sheetViews>
  <sheetFormatPr defaultColWidth="9.140625" defaultRowHeight="15"/>
  <cols>
    <col min="95" max="95" width="8.85546875" customWidth="1"/>
    <col min="96" max="96" width="13.5703125" customWidth="1"/>
  </cols>
  <sheetData>
    <row r="1" spans="1:96" s="24" customFormat="1">
      <c r="A1" s="24" t="s">
        <v>1319</v>
      </c>
      <c r="B1" s="36" t="s">
        <v>1196</v>
      </c>
      <c r="C1" s="26" t="s">
        <v>1033</v>
      </c>
      <c r="D1" s="26" t="s">
        <v>1032</v>
      </c>
      <c r="E1" s="26" t="s">
        <v>1031</v>
      </c>
      <c r="F1" s="26" t="s">
        <v>1030</v>
      </c>
      <c r="G1" s="26" t="s">
        <v>1029</v>
      </c>
      <c r="H1" s="26" t="s">
        <v>1028</v>
      </c>
      <c r="I1" s="26" t="s">
        <v>1027</v>
      </c>
      <c r="J1" s="26" t="s">
        <v>1026</v>
      </c>
      <c r="K1" s="26" t="s">
        <v>1025</v>
      </c>
      <c r="L1" s="26" t="s">
        <v>1024</v>
      </c>
      <c r="M1" s="26" t="s">
        <v>1023</v>
      </c>
      <c r="N1" s="26" t="s">
        <v>1022</v>
      </c>
      <c r="O1" s="26" t="s">
        <v>1021</v>
      </c>
      <c r="P1" s="26" t="s">
        <v>1020</v>
      </c>
      <c r="Q1" s="26" t="s">
        <v>1019</v>
      </c>
      <c r="R1" s="26" t="s">
        <v>1018</v>
      </c>
      <c r="S1" s="26" t="s">
        <v>1017</v>
      </c>
      <c r="T1" s="26" t="s">
        <v>1016</v>
      </c>
      <c r="U1" s="26" t="s">
        <v>1015</v>
      </c>
      <c r="V1" s="26" t="s">
        <v>1014</v>
      </c>
      <c r="W1" s="26" t="s">
        <v>1013</v>
      </c>
      <c r="X1" s="26" t="s">
        <v>1012</v>
      </c>
      <c r="Y1" s="26" t="s">
        <v>1011</v>
      </c>
      <c r="Z1" s="26" t="s">
        <v>1010</v>
      </c>
      <c r="AA1" s="26" t="s">
        <v>1009</v>
      </c>
      <c r="AB1" s="26" t="s">
        <v>1008</v>
      </c>
      <c r="AC1" s="26" t="s">
        <v>1007</v>
      </c>
      <c r="AD1" s="26" t="s">
        <v>1006</v>
      </c>
      <c r="AE1" s="26" t="s">
        <v>1005</v>
      </c>
      <c r="AF1" s="26" t="s">
        <v>1004</v>
      </c>
      <c r="AG1" s="26" t="s">
        <v>1003</v>
      </c>
      <c r="AH1" s="26" t="s">
        <v>1002</v>
      </c>
      <c r="AI1" s="26" t="s">
        <v>1001</v>
      </c>
      <c r="AJ1" s="26" t="s">
        <v>1000</v>
      </c>
      <c r="AK1" s="26" t="s">
        <v>999</v>
      </c>
      <c r="AL1" s="26" t="s">
        <v>998</v>
      </c>
      <c r="AM1" s="26" t="s">
        <v>997</v>
      </c>
      <c r="AN1" s="26" t="s">
        <v>996</v>
      </c>
      <c r="AO1" s="26" t="s">
        <v>995</v>
      </c>
      <c r="AP1" s="26" t="s">
        <v>994</v>
      </c>
      <c r="AQ1" s="26" t="s">
        <v>993</v>
      </c>
      <c r="AR1" s="26" t="s">
        <v>992</v>
      </c>
      <c r="AS1" s="26" t="s">
        <v>991</v>
      </c>
      <c r="AT1" s="26" t="s">
        <v>990</v>
      </c>
      <c r="AU1" s="26" t="s">
        <v>989</v>
      </c>
      <c r="AV1" s="26" t="s">
        <v>988</v>
      </c>
      <c r="AW1" s="26" t="s">
        <v>987</v>
      </c>
      <c r="AX1" s="26" t="s">
        <v>986</v>
      </c>
      <c r="AY1" s="26" t="s">
        <v>985</v>
      </c>
      <c r="AZ1" s="26" t="s">
        <v>984</v>
      </c>
      <c r="BA1" s="26" t="s">
        <v>983</v>
      </c>
      <c r="BB1" s="26" t="s">
        <v>982</v>
      </c>
      <c r="BC1" s="26" t="s">
        <v>981</v>
      </c>
      <c r="BD1" s="26" t="s">
        <v>980</v>
      </c>
      <c r="BE1" s="26" t="s">
        <v>979</v>
      </c>
      <c r="BF1" s="26" t="s">
        <v>978</v>
      </c>
      <c r="BG1" s="26" t="s">
        <v>977</v>
      </c>
      <c r="BH1" s="26" t="s">
        <v>976</v>
      </c>
      <c r="BI1" s="26" t="s">
        <v>975</v>
      </c>
      <c r="BJ1" s="26" t="s">
        <v>974</v>
      </c>
      <c r="BK1" s="26" t="s">
        <v>973</v>
      </c>
      <c r="BL1" s="26" t="s">
        <v>972</v>
      </c>
      <c r="BM1" s="26" t="s">
        <v>971</v>
      </c>
      <c r="BN1" s="26" t="s">
        <v>970</v>
      </c>
      <c r="BO1" s="26" t="s">
        <v>969</v>
      </c>
      <c r="BP1" s="26" t="s">
        <v>968</v>
      </c>
      <c r="BQ1" s="26" t="s">
        <v>967</v>
      </c>
      <c r="BR1" s="26" t="s">
        <v>966</v>
      </c>
      <c r="BS1" s="26" t="s">
        <v>965</v>
      </c>
      <c r="BT1" s="26" t="s">
        <v>964</v>
      </c>
      <c r="BU1" s="26" t="s">
        <v>963</v>
      </c>
      <c r="BV1" s="26" t="s">
        <v>962</v>
      </c>
      <c r="BW1" s="26" t="s">
        <v>961</v>
      </c>
      <c r="BX1" s="26" t="s">
        <v>568</v>
      </c>
      <c r="BY1" s="26" t="s">
        <v>567</v>
      </c>
      <c r="BZ1" s="26" t="s">
        <v>566</v>
      </c>
      <c r="CA1" s="26" t="s">
        <v>565</v>
      </c>
      <c r="CB1" s="26" t="s">
        <v>564</v>
      </c>
      <c r="CC1" s="26" t="s">
        <v>563</v>
      </c>
      <c r="CD1" s="26" t="s">
        <v>562</v>
      </c>
      <c r="CE1" s="26" t="s">
        <v>561</v>
      </c>
      <c r="CF1" s="26" t="s">
        <v>560</v>
      </c>
      <c r="CG1" s="26" t="s">
        <v>388</v>
      </c>
      <c r="CH1" s="26" t="s">
        <v>559</v>
      </c>
      <c r="CI1" s="26" t="s">
        <v>558</v>
      </c>
      <c r="CJ1" s="26" t="s">
        <v>960</v>
      </c>
      <c r="CK1" s="26" t="s">
        <v>959</v>
      </c>
      <c r="CL1" s="26" t="s">
        <v>958</v>
      </c>
      <c r="CM1" s="26" t="s">
        <v>957</v>
      </c>
      <c r="CN1" s="26" t="s">
        <v>956</v>
      </c>
      <c r="CO1" s="26" t="s">
        <v>955</v>
      </c>
      <c r="CP1" s="26" t="s">
        <v>954</v>
      </c>
      <c r="CQ1" s="26" t="s">
        <v>953</v>
      </c>
      <c r="CR1" s="26" t="s">
        <v>534</v>
      </c>
    </row>
    <row r="2" spans="1:96">
      <c r="A2">
        <v>1</v>
      </c>
      <c r="B2" s="20">
        <v>177</v>
      </c>
      <c r="C2">
        <v>3</v>
      </c>
      <c r="D2">
        <v>3</v>
      </c>
      <c r="E2">
        <v>1</v>
      </c>
      <c r="F2">
        <v>3</v>
      </c>
      <c r="G2">
        <v>3</v>
      </c>
      <c r="H2">
        <v>1</v>
      </c>
      <c r="I2">
        <v>1</v>
      </c>
      <c r="J2">
        <v>3</v>
      </c>
      <c r="K2">
        <v>1</v>
      </c>
      <c r="L2">
        <v>3</v>
      </c>
      <c r="M2">
        <v>1</v>
      </c>
      <c r="N2">
        <v>3</v>
      </c>
      <c r="O2">
        <v>2</v>
      </c>
      <c r="P2">
        <v>2</v>
      </c>
      <c r="Q2">
        <v>1</v>
      </c>
      <c r="R2">
        <v>3</v>
      </c>
      <c r="S2">
        <v>1</v>
      </c>
      <c r="T2">
        <v>1</v>
      </c>
      <c r="U2">
        <v>1</v>
      </c>
      <c r="V2">
        <v>3</v>
      </c>
      <c r="W2">
        <v>1</v>
      </c>
      <c r="X2">
        <v>3</v>
      </c>
      <c r="Y2">
        <v>1</v>
      </c>
      <c r="Z2">
        <v>1</v>
      </c>
      <c r="AA2">
        <v>3</v>
      </c>
      <c r="AB2">
        <v>3</v>
      </c>
      <c r="AC2">
        <v>1</v>
      </c>
      <c r="AD2">
        <v>3</v>
      </c>
      <c r="AE2">
        <v>1</v>
      </c>
      <c r="AF2">
        <v>1</v>
      </c>
      <c r="AG2">
        <v>1</v>
      </c>
      <c r="AH2">
        <v>3</v>
      </c>
      <c r="AI2">
        <v>1</v>
      </c>
      <c r="AJ2">
        <v>3</v>
      </c>
      <c r="AK2">
        <v>1</v>
      </c>
      <c r="AL2">
        <v>3</v>
      </c>
      <c r="AM2">
        <v>4</v>
      </c>
      <c r="AN2">
        <v>4</v>
      </c>
      <c r="AO2">
        <v>1</v>
      </c>
      <c r="AP2">
        <v>4</v>
      </c>
      <c r="AQ2">
        <v>3</v>
      </c>
      <c r="AR2">
        <v>1</v>
      </c>
      <c r="AS2">
        <v>1</v>
      </c>
      <c r="AT2">
        <v>3</v>
      </c>
      <c r="AU2">
        <v>1</v>
      </c>
      <c r="AV2">
        <v>3</v>
      </c>
      <c r="AW2">
        <v>1</v>
      </c>
      <c r="AX2">
        <v>3</v>
      </c>
      <c r="AY2">
        <v>5</v>
      </c>
      <c r="AZ2">
        <v>5</v>
      </c>
      <c r="BA2">
        <v>5</v>
      </c>
      <c r="BB2">
        <v>5</v>
      </c>
      <c r="BC2">
        <v>5</v>
      </c>
      <c r="BD2">
        <v>5</v>
      </c>
      <c r="BE2">
        <v>5</v>
      </c>
      <c r="BF2">
        <v>5</v>
      </c>
      <c r="BG2">
        <v>5</v>
      </c>
      <c r="BH2">
        <v>5</v>
      </c>
      <c r="BI2">
        <v>5</v>
      </c>
      <c r="BJ2">
        <v>5</v>
      </c>
      <c r="BK2">
        <v>5</v>
      </c>
      <c r="BL2">
        <v>5</v>
      </c>
      <c r="BM2">
        <v>5</v>
      </c>
      <c r="BN2">
        <v>5</v>
      </c>
      <c r="BO2">
        <v>5</v>
      </c>
      <c r="BP2">
        <v>5</v>
      </c>
      <c r="BQ2">
        <v>5</v>
      </c>
      <c r="BR2">
        <v>5</v>
      </c>
      <c r="BS2">
        <v>5</v>
      </c>
      <c r="BT2">
        <v>5</v>
      </c>
      <c r="BU2">
        <v>5</v>
      </c>
      <c r="BV2">
        <v>5</v>
      </c>
      <c r="BW2">
        <v>5</v>
      </c>
      <c r="BX2">
        <v>1</v>
      </c>
      <c r="BY2">
        <v>0</v>
      </c>
      <c r="BZ2">
        <v>0</v>
      </c>
      <c r="CA2">
        <v>0</v>
      </c>
      <c r="CB2">
        <v>1</v>
      </c>
      <c r="CC2">
        <v>1</v>
      </c>
      <c r="CD2">
        <v>0</v>
      </c>
      <c r="CE2">
        <v>1</v>
      </c>
      <c r="CF2">
        <v>0</v>
      </c>
      <c r="CG2">
        <v>1</v>
      </c>
      <c r="CH2">
        <v>0</v>
      </c>
      <c r="CI2">
        <v>5</v>
      </c>
      <c r="CJ2">
        <v>3</v>
      </c>
      <c r="CK2">
        <v>2</v>
      </c>
      <c r="CL2">
        <v>4</v>
      </c>
      <c r="CM2">
        <v>1</v>
      </c>
      <c r="CN2">
        <v>3</v>
      </c>
      <c r="CO2">
        <v>4</v>
      </c>
      <c r="CP2">
        <v>2</v>
      </c>
      <c r="CQ2">
        <v>1</v>
      </c>
      <c r="CR2">
        <v>5</v>
      </c>
    </row>
    <row r="3" spans="1:96">
      <c r="A3">
        <v>2</v>
      </c>
      <c r="B3" s="20">
        <v>175</v>
      </c>
      <c r="C3">
        <v>4</v>
      </c>
      <c r="D3">
        <v>2</v>
      </c>
      <c r="E3">
        <v>2</v>
      </c>
      <c r="F3">
        <v>3</v>
      </c>
      <c r="G3">
        <v>3</v>
      </c>
      <c r="H3">
        <v>4</v>
      </c>
      <c r="I3">
        <v>3</v>
      </c>
      <c r="J3">
        <v>3</v>
      </c>
      <c r="K3">
        <v>3</v>
      </c>
      <c r="L3">
        <v>4</v>
      </c>
      <c r="M3">
        <v>2</v>
      </c>
      <c r="N3">
        <v>3</v>
      </c>
      <c r="O3">
        <v>3</v>
      </c>
      <c r="P3">
        <v>4</v>
      </c>
      <c r="Q3">
        <v>1</v>
      </c>
      <c r="R3">
        <v>1</v>
      </c>
      <c r="S3">
        <v>3</v>
      </c>
      <c r="T3">
        <v>5</v>
      </c>
      <c r="U3">
        <v>3</v>
      </c>
      <c r="V3">
        <v>2</v>
      </c>
      <c r="W3">
        <v>2</v>
      </c>
      <c r="X3">
        <v>4</v>
      </c>
      <c r="Y3">
        <v>3</v>
      </c>
      <c r="Z3">
        <v>3</v>
      </c>
      <c r="AA3">
        <v>2</v>
      </c>
      <c r="AB3">
        <v>5</v>
      </c>
      <c r="AC3">
        <v>3</v>
      </c>
      <c r="AD3">
        <v>1</v>
      </c>
      <c r="AE3">
        <v>2</v>
      </c>
      <c r="AF3">
        <v>5</v>
      </c>
      <c r="AG3">
        <v>2</v>
      </c>
      <c r="AH3">
        <v>2</v>
      </c>
      <c r="AI3">
        <v>3</v>
      </c>
      <c r="AJ3">
        <v>4</v>
      </c>
      <c r="AK3">
        <v>3</v>
      </c>
      <c r="AL3">
        <v>2</v>
      </c>
      <c r="AM3">
        <v>4</v>
      </c>
      <c r="AN3">
        <v>1</v>
      </c>
      <c r="AO3">
        <v>2</v>
      </c>
      <c r="AP3">
        <v>3</v>
      </c>
      <c r="AQ3">
        <v>4</v>
      </c>
      <c r="AR3">
        <v>2</v>
      </c>
      <c r="AS3">
        <v>2</v>
      </c>
      <c r="AT3">
        <v>2</v>
      </c>
      <c r="AU3">
        <v>4</v>
      </c>
      <c r="AV3">
        <v>2</v>
      </c>
      <c r="AW3">
        <v>1</v>
      </c>
      <c r="AX3">
        <v>3</v>
      </c>
      <c r="AY3">
        <v>4</v>
      </c>
      <c r="AZ3">
        <v>4</v>
      </c>
      <c r="BA3">
        <v>3</v>
      </c>
      <c r="BB3">
        <v>4</v>
      </c>
      <c r="BC3">
        <v>4</v>
      </c>
      <c r="BD3">
        <v>3</v>
      </c>
      <c r="BE3">
        <v>4</v>
      </c>
      <c r="BF3">
        <v>3</v>
      </c>
      <c r="BG3">
        <v>3</v>
      </c>
      <c r="BH3">
        <v>4</v>
      </c>
      <c r="BI3">
        <v>4</v>
      </c>
      <c r="BJ3">
        <v>4</v>
      </c>
      <c r="BK3">
        <v>2</v>
      </c>
      <c r="BL3">
        <v>4</v>
      </c>
      <c r="BM3">
        <v>4</v>
      </c>
      <c r="BN3">
        <v>2</v>
      </c>
      <c r="BO3">
        <v>4</v>
      </c>
      <c r="BP3">
        <v>2</v>
      </c>
      <c r="BQ3">
        <v>3</v>
      </c>
      <c r="BR3">
        <v>3</v>
      </c>
      <c r="BS3">
        <v>4</v>
      </c>
      <c r="BT3">
        <v>4</v>
      </c>
      <c r="BU3">
        <v>4</v>
      </c>
      <c r="BV3">
        <v>4</v>
      </c>
      <c r="BW3">
        <v>4</v>
      </c>
      <c r="BX3">
        <v>1</v>
      </c>
      <c r="BY3">
        <v>0</v>
      </c>
      <c r="BZ3">
        <v>1</v>
      </c>
      <c r="CA3">
        <v>0</v>
      </c>
      <c r="CB3">
        <v>1</v>
      </c>
      <c r="CC3">
        <v>1</v>
      </c>
      <c r="CD3">
        <v>0</v>
      </c>
      <c r="CE3">
        <v>0</v>
      </c>
      <c r="CF3">
        <v>1</v>
      </c>
      <c r="CG3">
        <v>0</v>
      </c>
      <c r="CH3">
        <v>0</v>
      </c>
      <c r="CI3">
        <v>4</v>
      </c>
      <c r="CJ3">
        <v>3</v>
      </c>
      <c r="CK3">
        <v>4</v>
      </c>
      <c r="CL3">
        <v>2</v>
      </c>
      <c r="CM3">
        <v>1</v>
      </c>
      <c r="CN3">
        <v>4</v>
      </c>
      <c r="CO3">
        <v>2</v>
      </c>
      <c r="CP3">
        <v>3</v>
      </c>
      <c r="CQ3">
        <v>1</v>
      </c>
      <c r="CR3">
        <v>4</v>
      </c>
    </row>
    <row r="4" spans="1:96">
      <c r="A4">
        <v>3</v>
      </c>
      <c r="B4" s="20">
        <v>192</v>
      </c>
      <c r="C4">
        <v>3</v>
      </c>
      <c r="D4">
        <v>3</v>
      </c>
      <c r="E4">
        <v>1</v>
      </c>
      <c r="F4">
        <v>2</v>
      </c>
      <c r="G4">
        <v>3</v>
      </c>
      <c r="H4">
        <v>3</v>
      </c>
      <c r="I4">
        <v>2</v>
      </c>
      <c r="J4">
        <v>2</v>
      </c>
      <c r="K4">
        <v>2</v>
      </c>
      <c r="L4">
        <v>2</v>
      </c>
      <c r="M4">
        <v>1</v>
      </c>
      <c r="N4">
        <v>1</v>
      </c>
      <c r="O4">
        <v>3</v>
      </c>
      <c r="P4">
        <v>3</v>
      </c>
      <c r="Q4">
        <v>1</v>
      </c>
      <c r="R4">
        <v>2</v>
      </c>
      <c r="S4">
        <v>3</v>
      </c>
      <c r="T4">
        <v>3</v>
      </c>
      <c r="U4">
        <v>1</v>
      </c>
      <c r="V4">
        <v>2</v>
      </c>
      <c r="W4">
        <v>2</v>
      </c>
      <c r="X4">
        <v>3</v>
      </c>
      <c r="Y4">
        <v>1</v>
      </c>
      <c r="Z4">
        <v>1</v>
      </c>
      <c r="AA4">
        <v>3</v>
      </c>
      <c r="AB4">
        <v>2</v>
      </c>
      <c r="AC4">
        <v>1</v>
      </c>
      <c r="AD4">
        <v>2</v>
      </c>
      <c r="AE4">
        <v>3</v>
      </c>
      <c r="AF4">
        <v>3</v>
      </c>
      <c r="AG4">
        <v>1</v>
      </c>
      <c r="AH4">
        <v>2</v>
      </c>
      <c r="AI4">
        <v>2</v>
      </c>
      <c r="AJ4">
        <v>3</v>
      </c>
      <c r="AK4">
        <v>1</v>
      </c>
      <c r="AL4">
        <v>1</v>
      </c>
      <c r="AM4">
        <v>2</v>
      </c>
      <c r="AN4">
        <v>2</v>
      </c>
      <c r="AO4">
        <v>2</v>
      </c>
      <c r="AP4">
        <v>2</v>
      </c>
      <c r="AQ4">
        <v>2</v>
      </c>
      <c r="AR4">
        <v>2</v>
      </c>
      <c r="AS4">
        <v>2</v>
      </c>
      <c r="AT4">
        <v>2</v>
      </c>
      <c r="AU4">
        <v>2</v>
      </c>
      <c r="AV4">
        <v>2</v>
      </c>
      <c r="AW4">
        <v>2</v>
      </c>
      <c r="AX4">
        <v>2</v>
      </c>
      <c r="AY4">
        <v>3</v>
      </c>
      <c r="AZ4">
        <v>4</v>
      </c>
      <c r="BA4">
        <v>5</v>
      </c>
      <c r="BB4">
        <v>3</v>
      </c>
      <c r="BC4">
        <v>4</v>
      </c>
      <c r="BD4">
        <v>4</v>
      </c>
      <c r="BE4">
        <v>3</v>
      </c>
      <c r="BF4">
        <v>4</v>
      </c>
      <c r="BG4">
        <v>4</v>
      </c>
      <c r="BH4">
        <v>3</v>
      </c>
      <c r="BI4">
        <v>4</v>
      </c>
      <c r="BJ4">
        <v>4</v>
      </c>
      <c r="BK4">
        <v>3</v>
      </c>
      <c r="BL4">
        <v>4</v>
      </c>
      <c r="BM4">
        <v>4</v>
      </c>
      <c r="BN4">
        <v>4</v>
      </c>
      <c r="BO4">
        <v>4</v>
      </c>
      <c r="BP4">
        <v>3</v>
      </c>
      <c r="BQ4">
        <v>4</v>
      </c>
      <c r="BR4">
        <v>4</v>
      </c>
      <c r="BS4">
        <v>3</v>
      </c>
      <c r="BT4">
        <v>4</v>
      </c>
      <c r="BU4">
        <v>3</v>
      </c>
      <c r="BV4">
        <v>4</v>
      </c>
      <c r="BW4">
        <v>4</v>
      </c>
      <c r="BX4">
        <v>1</v>
      </c>
      <c r="BY4">
        <v>0</v>
      </c>
      <c r="BZ4">
        <v>1</v>
      </c>
      <c r="CA4">
        <v>1</v>
      </c>
      <c r="CB4">
        <v>0</v>
      </c>
      <c r="CC4">
        <v>1</v>
      </c>
      <c r="CD4">
        <v>0</v>
      </c>
      <c r="CE4">
        <v>1</v>
      </c>
      <c r="CF4">
        <v>0</v>
      </c>
      <c r="CG4">
        <v>1</v>
      </c>
      <c r="CH4">
        <v>0</v>
      </c>
      <c r="CI4">
        <v>4</v>
      </c>
      <c r="CJ4">
        <v>3</v>
      </c>
      <c r="CK4">
        <v>2</v>
      </c>
      <c r="CL4">
        <v>1</v>
      </c>
      <c r="CM4">
        <v>4</v>
      </c>
      <c r="CN4">
        <v>3</v>
      </c>
      <c r="CO4">
        <v>2</v>
      </c>
      <c r="CP4">
        <v>1</v>
      </c>
      <c r="CQ4">
        <v>4</v>
      </c>
      <c r="CR4">
        <v>5</v>
      </c>
    </row>
    <row r="5" spans="1:96">
      <c r="A5">
        <v>4</v>
      </c>
      <c r="B5" s="20">
        <v>166</v>
      </c>
      <c r="C5">
        <v>4</v>
      </c>
      <c r="D5">
        <v>2</v>
      </c>
      <c r="E5">
        <v>1</v>
      </c>
      <c r="F5">
        <v>2</v>
      </c>
      <c r="G5">
        <v>4</v>
      </c>
      <c r="H5">
        <v>2</v>
      </c>
      <c r="I5">
        <v>1</v>
      </c>
      <c r="J5">
        <v>2</v>
      </c>
      <c r="K5">
        <v>3</v>
      </c>
      <c r="L5">
        <v>3</v>
      </c>
      <c r="M5">
        <v>1</v>
      </c>
      <c r="N5">
        <v>2</v>
      </c>
      <c r="O5">
        <v>3</v>
      </c>
      <c r="P5">
        <v>3</v>
      </c>
      <c r="Q5">
        <v>1</v>
      </c>
      <c r="R5">
        <v>2</v>
      </c>
      <c r="S5">
        <v>4</v>
      </c>
      <c r="T5">
        <v>3</v>
      </c>
      <c r="U5">
        <v>1</v>
      </c>
      <c r="V5">
        <v>1</v>
      </c>
      <c r="W5">
        <v>2</v>
      </c>
      <c r="X5">
        <v>3</v>
      </c>
      <c r="Y5">
        <v>1</v>
      </c>
      <c r="Z5">
        <v>2</v>
      </c>
      <c r="AA5">
        <v>3</v>
      </c>
      <c r="AB5">
        <v>2</v>
      </c>
      <c r="AC5">
        <v>1</v>
      </c>
      <c r="AD5">
        <v>2</v>
      </c>
      <c r="AE5">
        <v>4</v>
      </c>
      <c r="AF5">
        <v>2</v>
      </c>
      <c r="AG5">
        <v>1</v>
      </c>
      <c r="AH5">
        <v>2</v>
      </c>
      <c r="AI5">
        <v>2</v>
      </c>
      <c r="AJ5">
        <v>2</v>
      </c>
      <c r="AK5">
        <v>1</v>
      </c>
      <c r="AL5">
        <v>2</v>
      </c>
      <c r="AM5">
        <v>4</v>
      </c>
      <c r="AN5">
        <v>2</v>
      </c>
      <c r="AO5">
        <v>1</v>
      </c>
      <c r="AP5">
        <v>2</v>
      </c>
      <c r="AQ5">
        <v>4</v>
      </c>
      <c r="AR5">
        <v>2</v>
      </c>
      <c r="AS5">
        <v>1</v>
      </c>
      <c r="AT5">
        <v>2</v>
      </c>
      <c r="AU5">
        <v>2</v>
      </c>
      <c r="AV5">
        <v>2</v>
      </c>
      <c r="AW5">
        <v>1</v>
      </c>
      <c r="AX5">
        <v>2</v>
      </c>
      <c r="AY5">
        <v>5</v>
      </c>
      <c r="AZ5">
        <v>5</v>
      </c>
      <c r="BA5">
        <v>5</v>
      </c>
      <c r="BB5">
        <v>4</v>
      </c>
      <c r="BC5">
        <v>5</v>
      </c>
      <c r="BD5">
        <v>4</v>
      </c>
      <c r="BE5">
        <v>5</v>
      </c>
      <c r="BF5">
        <v>5</v>
      </c>
      <c r="BG5">
        <v>4</v>
      </c>
      <c r="BH5">
        <v>4</v>
      </c>
      <c r="BI5">
        <v>4</v>
      </c>
      <c r="BJ5">
        <v>4</v>
      </c>
      <c r="BK5">
        <v>4</v>
      </c>
      <c r="BL5">
        <v>3</v>
      </c>
      <c r="BM5">
        <v>5</v>
      </c>
      <c r="BN5">
        <v>4</v>
      </c>
      <c r="BO5">
        <v>5</v>
      </c>
      <c r="BP5">
        <v>4</v>
      </c>
      <c r="BQ5">
        <v>4</v>
      </c>
      <c r="BR5">
        <v>5</v>
      </c>
      <c r="BS5">
        <v>4</v>
      </c>
      <c r="BT5">
        <v>4</v>
      </c>
      <c r="BU5">
        <v>4</v>
      </c>
      <c r="BV5">
        <v>5</v>
      </c>
      <c r="BW5">
        <v>5</v>
      </c>
      <c r="BX5">
        <v>1</v>
      </c>
      <c r="BY5">
        <v>0</v>
      </c>
      <c r="BZ5">
        <v>1</v>
      </c>
      <c r="CA5">
        <v>0</v>
      </c>
      <c r="CB5">
        <v>0</v>
      </c>
      <c r="CC5">
        <v>1</v>
      </c>
      <c r="CD5">
        <v>0</v>
      </c>
      <c r="CE5">
        <v>1</v>
      </c>
      <c r="CF5">
        <v>0</v>
      </c>
      <c r="CG5">
        <v>1</v>
      </c>
      <c r="CH5">
        <v>0</v>
      </c>
      <c r="CI5">
        <v>4</v>
      </c>
      <c r="CJ5">
        <v>1</v>
      </c>
      <c r="CK5">
        <v>4</v>
      </c>
      <c r="CL5">
        <v>2</v>
      </c>
      <c r="CM5">
        <v>3</v>
      </c>
      <c r="CN5">
        <v>3</v>
      </c>
      <c r="CO5">
        <v>4</v>
      </c>
      <c r="CP5">
        <v>2</v>
      </c>
      <c r="CQ5">
        <v>1</v>
      </c>
      <c r="CR5">
        <v>1</v>
      </c>
    </row>
    <row r="6" spans="1:96">
      <c r="A6">
        <v>5</v>
      </c>
      <c r="B6" s="20">
        <v>173</v>
      </c>
      <c r="C6">
        <v>2</v>
      </c>
      <c r="D6">
        <v>2</v>
      </c>
      <c r="E6">
        <v>4</v>
      </c>
      <c r="F6">
        <v>4</v>
      </c>
      <c r="G6">
        <v>2</v>
      </c>
      <c r="H6">
        <v>1</v>
      </c>
      <c r="I6">
        <v>4</v>
      </c>
      <c r="J6">
        <v>4</v>
      </c>
      <c r="K6">
        <v>1</v>
      </c>
      <c r="L6">
        <v>2</v>
      </c>
      <c r="M6">
        <v>4</v>
      </c>
      <c r="N6">
        <v>3</v>
      </c>
      <c r="O6">
        <v>1</v>
      </c>
      <c r="P6">
        <v>3</v>
      </c>
      <c r="Q6">
        <v>4</v>
      </c>
      <c r="R6">
        <v>3</v>
      </c>
      <c r="S6">
        <v>1</v>
      </c>
      <c r="T6">
        <v>2</v>
      </c>
      <c r="U6">
        <v>4</v>
      </c>
      <c r="V6">
        <v>3</v>
      </c>
      <c r="W6">
        <v>1</v>
      </c>
      <c r="X6">
        <v>1</v>
      </c>
      <c r="Y6">
        <v>4</v>
      </c>
      <c r="Z6">
        <v>2</v>
      </c>
      <c r="AA6">
        <v>2</v>
      </c>
      <c r="AB6">
        <v>2</v>
      </c>
      <c r="AC6">
        <v>3</v>
      </c>
      <c r="AD6">
        <v>3</v>
      </c>
      <c r="AE6">
        <v>1</v>
      </c>
      <c r="AF6">
        <v>1</v>
      </c>
      <c r="AG6">
        <v>2</v>
      </c>
      <c r="AH6">
        <v>3</v>
      </c>
      <c r="AI6">
        <v>1</v>
      </c>
      <c r="AJ6">
        <v>1</v>
      </c>
      <c r="AK6">
        <v>3</v>
      </c>
      <c r="AL6">
        <v>2</v>
      </c>
      <c r="AM6">
        <v>2</v>
      </c>
      <c r="AN6">
        <v>3</v>
      </c>
      <c r="AO6">
        <v>2</v>
      </c>
      <c r="AP6">
        <v>4</v>
      </c>
      <c r="AQ6">
        <v>1</v>
      </c>
      <c r="AR6">
        <v>2</v>
      </c>
      <c r="AS6">
        <v>2</v>
      </c>
      <c r="AT6">
        <v>2</v>
      </c>
      <c r="AU6">
        <v>1</v>
      </c>
      <c r="AV6">
        <v>1</v>
      </c>
      <c r="AW6">
        <v>3</v>
      </c>
      <c r="AX6">
        <v>3</v>
      </c>
      <c r="AY6">
        <v>5</v>
      </c>
      <c r="AZ6">
        <v>4</v>
      </c>
      <c r="BA6">
        <v>4</v>
      </c>
      <c r="BB6">
        <v>5</v>
      </c>
      <c r="BC6">
        <v>4</v>
      </c>
      <c r="BD6">
        <v>3</v>
      </c>
      <c r="BE6">
        <v>2</v>
      </c>
      <c r="BF6">
        <v>4</v>
      </c>
      <c r="BG6">
        <v>3</v>
      </c>
      <c r="BH6">
        <v>4</v>
      </c>
      <c r="BI6">
        <v>3</v>
      </c>
      <c r="BJ6">
        <v>3</v>
      </c>
      <c r="BK6">
        <v>4</v>
      </c>
      <c r="BL6">
        <v>4</v>
      </c>
      <c r="BM6">
        <v>4</v>
      </c>
      <c r="BN6">
        <v>4</v>
      </c>
      <c r="BO6">
        <v>4</v>
      </c>
      <c r="BP6">
        <v>4</v>
      </c>
      <c r="BQ6">
        <v>4</v>
      </c>
      <c r="BR6">
        <v>4</v>
      </c>
      <c r="BS6">
        <v>3</v>
      </c>
      <c r="BT6">
        <v>3</v>
      </c>
      <c r="BU6">
        <v>3</v>
      </c>
      <c r="BV6">
        <v>3</v>
      </c>
      <c r="BW6">
        <v>3</v>
      </c>
      <c r="BX6">
        <v>1</v>
      </c>
      <c r="BY6">
        <v>1</v>
      </c>
      <c r="BZ6">
        <v>1</v>
      </c>
      <c r="CA6">
        <v>0</v>
      </c>
      <c r="CB6">
        <v>0</v>
      </c>
      <c r="CC6">
        <v>1</v>
      </c>
      <c r="CD6">
        <v>0</v>
      </c>
      <c r="CE6">
        <v>1</v>
      </c>
      <c r="CF6">
        <v>0</v>
      </c>
      <c r="CG6">
        <v>0</v>
      </c>
      <c r="CH6">
        <v>0</v>
      </c>
      <c r="CI6">
        <v>2</v>
      </c>
      <c r="CJ6">
        <v>3</v>
      </c>
      <c r="CK6">
        <v>4</v>
      </c>
      <c r="CL6">
        <v>1</v>
      </c>
      <c r="CM6">
        <v>2</v>
      </c>
      <c r="CN6">
        <v>4</v>
      </c>
      <c r="CO6">
        <v>2</v>
      </c>
      <c r="CP6">
        <v>1</v>
      </c>
      <c r="CQ6">
        <v>3</v>
      </c>
      <c r="CR6">
        <v>2</v>
      </c>
    </row>
    <row r="7" spans="1:96">
      <c r="A7">
        <v>6</v>
      </c>
      <c r="B7" s="20">
        <v>154</v>
      </c>
      <c r="C7">
        <v>3</v>
      </c>
      <c r="D7">
        <v>2</v>
      </c>
      <c r="E7">
        <v>1</v>
      </c>
      <c r="F7">
        <v>3</v>
      </c>
      <c r="G7">
        <v>3</v>
      </c>
      <c r="H7">
        <v>2</v>
      </c>
      <c r="I7">
        <v>1</v>
      </c>
      <c r="J7">
        <v>3</v>
      </c>
      <c r="K7">
        <v>2</v>
      </c>
      <c r="L7">
        <v>2</v>
      </c>
      <c r="M7">
        <v>1</v>
      </c>
      <c r="N7">
        <v>3</v>
      </c>
      <c r="O7">
        <v>3</v>
      </c>
      <c r="P7">
        <v>2</v>
      </c>
      <c r="Q7">
        <v>1</v>
      </c>
      <c r="R7">
        <v>2</v>
      </c>
      <c r="S7">
        <v>3</v>
      </c>
      <c r="T7">
        <v>2</v>
      </c>
      <c r="U7">
        <v>1</v>
      </c>
      <c r="V7">
        <v>3</v>
      </c>
      <c r="W7">
        <v>3</v>
      </c>
      <c r="X7">
        <v>2</v>
      </c>
      <c r="Y7">
        <v>1</v>
      </c>
      <c r="Z7">
        <v>3</v>
      </c>
      <c r="AA7">
        <v>3</v>
      </c>
      <c r="AB7">
        <v>2</v>
      </c>
      <c r="AC7">
        <v>1</v>
      </c>
      <c r="AD7">
        <v>3</v>
      </c>
      <c r="AE7">
        <v>3</v>
      </c>
      <c r="AF7">
        <v>2</v>
      </c>
      <c r="AG7">
        <v>1</v>
      </c>
      <c r="AH7">
        <v>3</v>
      </c>
      <c r="AI7">
        <v>3</v>
      </c>
      <c r="AJ7">
        <v>2</v>
      </c>
      <c r="AK7">
        <v>1</v>
      </c>
      <c r="AL7">
        <v>3</v>
      </c>
      <c r="AM7">
        <v>4</v>
      </c>
      <c r="AN7">
        <v>2</v>
      </c>
      <c r="AO7">
        <v>1</v>
      </c>
      <c r="AP7">
        <v>3</v>
      </c>
      <c r="AQ7">
        <v>4</v>
      </c>
      <c r="AR7">
        <v>2</v>
      </c>
      <c r="AS7">
        <v>1</v>
      </c>
      <c r="AT7">
        <v>3</v>
      </c>
      <c r="AU7">
        <v>3</v>
      </c>
      <c r="AV7">
        <v>2</v>
      </c>
      <c r="AW7">
        <v>1</v>
      </c>
      <c r="AX7">
        <v>3</v>
      </c>
      <c r="AY7">
        <v>5</v>
      </c>
      <c r="AZ7">
        <v>4</v>
      </c>
      <c r="BA7">
        <v>4</v>
      </c>
      <c r="BB7">
        <v>3</v>
      </c>
      <c r="BC7">
        <v>5</v>
      </c>
      <c r="BD7">
        <v>4</v>
      </c>
      <c r="BE7">
        <v>4</v>
      </c>
      <c r="BF7">
        <v>5</v>
      </c>
      <c r="BG7">
        <v>4</v>
      </c>
      <c r="BH7">
        <v>3</v>
      </c>
      <c r="BI7">
        <v>4</v>
      </c>
      <c r="BJ7">
        <v>4</v>
      </c>
      <c r="BK7">
        <v>5</v>
      </c>
      <c r="BL7">
        <v>4</v>
      </c>
      <c r="BM7">
        <v>4</v>
      </c>
      <c r="BN7">
        <v>5</v>
      </c>
      <c r="BO7">
        <v>4</v>
      </c>
      <c r="BP7">
        <v>4</v>
      </c>
      <c r="BQ7">
        <v>4</v>
      </c>
      <c r="BR7">
        <v>4</v>
      </c>
      <c r="BS7">
        <v>4</v>
      </c>
      <c r="BT7">
        <v>4</v>
      </c>
      <c r="BU7">
        <v>4</v>
      </c>
      <c r="BV7">
        <v>3</v>
      </c>
      <c r="BW7">
        <v>4</v>
      </c>
      <c r="BX7">
        <v>0</v>
      </c>
      <c r="BY7">
        <v>0</v>
      </c>
      <c r="BZ7">
        <v>1</v>
      </c>
      <c r="CA7">
        <v>0</v>
      </c>
      <c r="CB7">
        <v>0</v>
      </c>
      <c r="CC7">
        <v>1</v>
      </c>
      <c r="CD7">
        <v>0</v>
      </c>
      <c r="CE7">
        <v>1</v>
      </c>
      <c r="CF7">
        <v>1</v>
      </c>
      <c r="CG7">
        <v>1</v>
      </c>
      <c r="CH7">
        <v>0</v>
      </c>
      <c r="CI7">
        <v>4</v>
      </c>
      <c r="CJ7">
        <v>1</v>
      </c>
      <c r="CK7">
        <v>4</v>
      </c>
      <c r="CL7">
        <v>3</v>
      </c>
      <c r="CM7">
        <v>2</v>
      </c>
      <c r="CN7">
        <v>1</v>
      </c>
      <c r="CO7">
        <v>2</v>
      </c>
      <c r="CP7">
        <v>4</v>
      </c>
      <c r="CQ7">
        <v>3</v>
      </c>
      <c r="CR7">
        <v>2</v>
      </c>
    </row>
    <row r="8" spans="1:96">
      <c r="A8">
        <v>7</v>
      </c>
      <c r="B8" s="20">
        <v>169</v>
      </c>
      <c r="C8">
        <v>3</v>
      </c>
      <c r="D8">
        <v>2</v>
      </c>
      <c r="E8">
        <v>2</v>
      </c>
      <c r="F8">
        <v>4</v>
      </c>
      <c r="G8">
        <v>4</v>
      </c>
      <c r="H8">
        <v>1</v>
      </c>
      <c r="I8">
        <v>1</v>
      </c>
      <c r="J8">
        <v>3</v>
      </c>
      <c r="K8">
        <v>3</v>
      </c>
      <c r="L8">
        <v>2</v>
      </c>
      <c r="M8">
        <v>1</v>
      </c>
      <c r="N8">
        <v>3</v>
      </c>
      <c r="O8">
        <v>3</v>
      </c>
      <c r="P8">
        <v>2</v>
      </c>
      <c r="Q8">
        <v>2</v>
      </c>
      <c r="R8">
        <v>4</v>
      </c>
      <c r="S8">
        <v>3</v>
      </c>
      <c r="T8">
        <v>1</v>
      </c>
      <c r="U8">
        <v>2</v>
      </c>
      <c r="V8">
        <v>3</v>
      </c>
      <c r="W8">
        <v>1</v>
      </c>
      <c r="X8">
        <v>1</v>
      </c>
      <c r="Y8">
        <v>2</v>
      </c>
      <c r="Z8">
        <v>2</v>
      </c>
      <c r="AA8">
        <v>4</v>
      </c>
      <c r="AB8">
        <v>3</v>
      </c>
      <c r="AC8">
        <v>1</v>
      </c>
      <c r="AD8">
        <v>4</v>
      </c>
      <c r="AE8">
        <v>4</v>
      </c>
      <c r="AF8">
        <v>1</v>
      </c>
      <c r="AG8">
        <v>1</v>
      </c>
      <c r="AH8">
        <v>4</v>
      </c>
      <c r="AI8">
        <v>1</v>
      </c>
      <c r="AJ8">
        <v>3</v>
      </c>
      <c r="AK8">
        <v>1</v>
      </c>
      <c r="AL8">
        <v>3</v>
      </c>
      <c r="AM8">
        <v>4</v>
      </c>
      <c r="AN8">
        <v>2</v>
      </c>
      <c r="AO8">
        <v>1</v>
      </c>
      <c r="AP8">
        <v>4</v>
      </c>
      <c r="AQ8">
        <v>4</v>
      </c>
      <c r="AR8">
        <v>1</v>
      </c>
      <c r="AS8">
        <v>1</v>
      </c>
      <c r="AT8">
        <v>4</v>
      </c>
      <c r="AU8">
        <v>3</v>
      </c>
      <c r="AV8">
        <v>2</v>
      </c>
      <c r="AW8">
        <v>1</v>
      </c>
      <c r="AX8">
        <v>2</v>
      </c>
      <c r="AY8">
        <v>5</v>
      </c>
      <c r="AZ8">
        <v>5</v>
      </c>
      <c r="BA8">
        <v>5</v>
      </c>
      <c r="BB8">
        <v>5</v>
      </c>
      <c r="BC8">
        <v>5</v>
      </c>
      <c r="BD8">
        <v>5</v>
      </c>
      <c r="BE8">
        <v>4</v>
      </c>
      <c r="BF8">
        <v>3</v>
      </c>
      <c r="BG8">
        <v>4</v>
      </c>
      <c r="BH8">
        <v>4</v>
      </c>
      <c r="BI8">
        <v>4</v>
      </c>
      <c r="BJ8">
        <v>4</v>
      </c>
      <c r="BK8">
        <v>4</v>
      </c>
      <c r="BL8">
        <v>4</v>
      </c>
      <c r="BM8">
        <v>4</v>
      </c>
      <c r="BN8">
        <v>4</v>
      </c>
      <c r="BO8">
        <v>4</v>
      </c>
      <c r="BP8">
        <v>4</v>
      </c>
      <c r="BQ8">
        <v>3</v>
      </c>
      <c r="BR8">
        <v>4</v>
      </c>
      <c r="BS8">
        <v>4</v>
      </c>
      <c r="BT8">
        <v>3</v>
      </c>
      <c r="BU8">
        <v>4</v>
      </c>
      <c r="BV8">
        <v>4</v>
      </c>
      <c r="BW8">
        <v>4</v>
      </c>
      <c r="BX8">
        <v>1</v>
      </c>
      <c r="BY8">
        <v>0</v>
      </c>
      <c r="BZ8">
        <v>0</v>
      </c>
      <c r="CA8">
        <v>1</v>
      </c>
      <c r="CB8">
        <v>0</v>
      </c>
      <c r="CC8">
        <v>1</v>
      </c>
      <c r="CD8">
        <v>0</v>
      </c>
      <c r="CE8">
        <v>1</v>
      </c>
      <c r="CF8">
        <v>0</v>
      </c>
      <c r="CG8">
        <v>0</v>
      </c>
      <c r="CH8">
        <v>0</v>
      </c>
      <c r="CI8">
        <v>4</v>
      </c>
      <c r="CJ8">
        <v>2</v>
      </c>
      <c r="CK8">
        <v>3</v>
      </c>
      <c r="CL8">
        <v>4</v>
      </c>
      <c r="CM8">
        <v>1</v>
      </c>
      <c r="CN8">
        <v>2</v>
      </c>
      <c r="CO8">
        <v>4</v>
      </c>
      <c r="CP8">
        <v>3</v>
      </c>
      <c r="CQ8">
        <v>1</v>
      </c>
      <c r="CR8">
        <v>2</v>
      </c>
    </row>
    <row r="9" spans="1:96">
      <c r="A9">
        <v>8</v>
      </c>
      <c r="B9" s="20">
        <v>172</v>
      </c>
      <c r="C9">
        <v>4</v>
      </c>
      <c r="D9">
        <v>3</v>
      </c>
      <c r="E9">
        <v>1</v>
      </c>
      <c r="F9">
        <v>2</v>
      </c>
      <c r="G9">
        <v>3</v>
      </c>
      <c r="H9">
        <v>4</v>
      </c>
      <c r="I9">
        <v>1</v>
      </c>
      <c r="J9">
        <v>2</v>
      </c>
      <c r="K9">
        <v>1</v>
      </c>
      <c r="L9">
        <v>2</v>
      </c>
      <c r="M9">
        <v>1</v>
      </c>
      <c r="N9">
        <v>1</v>
      </c>
      <c r="O9">
        <v>2</v>
      </c>
      <c r="P9">
        <v>2</v>
      </c>
      <c r="Q9">
        <v>1</v>
      </c>
      <c r="R9">
        <v>3</v>
      </c>
      <c r="S9">
        <v>2</v>
      </c>
      <c r="T9">
        <v>1</v>
      </c>
      <c r="U9">
        <v>1</v>
      </c>
      <c r="V9">
        <v>3</v>
      </c>
      <c r="W9">
        <v>1</v>
      </c>
      <c r="X9">
        <v>1</v>
      </c>
      <c r="Y9">
        <v>1</v>
      </c>
      <c r="Z9">
        <v>1</v>
      </c>
      <c r="AA9">
        <v>2</v>
      </c>
      <c r="AB9">
        <v>3</v>
      </c>
      <c r="AC9">
        <v>1</v>
      </c>
      <c r="AD9">
        <v>1</v>
      </c>
      <c r="AE9">
        <v>3</v>
      </c>
      <c r="AF9">
        <v>3</v>
      </c>
      <c r="AG9">
        <v>1</v>
      </c>
      <c r="AH9">
        <v>1</v>
      </c>
      <c r="AI9">
        <v>1</v>
      </c>
      <c r="AJ9">
        <v>4</v>
      </c>
      <c r="AK9">
        <v>1</v>
      </c>
      <c r="AL9">
        <v>1</v>
      </c>
      <c r="AM9">
        <v>4</v>
      </c>
      <c r="AN9">
        <v>2</v>
      </c>
      <c r="AO9">
        <v>1</v>
      </c>
      <c r="AP9">
        <v>1</v>
      </c>
      <c r="AQ9">
        <v>3</v>
      </c>
      <c r="AR9">
        <v>1</v>
      </c>
      <c r="AS9">
        <v>1</v>
      </c>
      <c r="AT9">
        <v>1</v>
      </c>
      <c r="AU9">
        <v>1</v>
      </c>
      <c r="AV9">
        <v>1</v>
      </c>
      <c r="AW9">
        <v>1</v>
      </c>
      <c r="AX9">
        <v>3</v>
      </c>
      <c r="AY9">
        <v>4</v>
      </c>
      <c r="AZ9">
        <v>4</v>
      </c>
      <c r="BA9">
        <v>3</v>
      </c>
      <c r="BB9">
        <v>4</v>
      </c>
      <c r="BC9">
        <v>4</v>
      </c>
      <c r="BD9">
        <v>4</v>
      </c>
      <c r="BE9">
        <v>2</v>
      </c>
      <c r="BF9">
        <v>4</v>
      </c>
      <c r="BG9">
        <v>3</v>
      </c>
      <c r="BH9">
        <v>3</v>
      </c>
      <c r="BI9">
        <v>4</v>
      </c>
      <c r="BJ9">
        <v>4</v>
      </c>
      <c r="BK9">
        <v>4</v>
      </c>
      <c r="BL9">
        <v>3</v>
      </c>
      <c r="BM9">
        <v>3</v>
      </c>
      <c r="BN9">
        <v>4</v>
      </c>
      <c r="BO9">
        <v>4</v>
      </c>
      <c r="BP9">
        <v>4</v>
      </c>
      <c r="BQ9">
        <v>4</v>
      </c>
      <c r="BR9">
        <v>4</v>
      </c>
      <c r="BS9">
        <v>4</v>
      </c>
      <c r="BT9">
        <v>4</v>
      </c>
      <c r="BU9">
        <v>4</v>
      </c>
      <c r="BV9">
        <v>4</v>
      </c>
      <c r="BW9">
        <v>4</v>
      </c>
      <c r="BX9">
        <v>1</v>
      </c>
      <c r="BY9">
        <v>0</v>
      </c>
      <c r="BZ9">
        <v>1</v>
      </c>
      <c r="CA9">
        <v>1</v>
      </c>
      <c r="CB9">
        <v>0</v>
      </c>
      <c r="CC9">
        <v>1</v>
      </c>
      <c r="CD9">
        <v>1</v>
      </c>
      <c r="CE9">
        <v>0</v>
      </c>
      <c r="CF9">
        <v>0</v>
      </c>
      <c r="CG9">
        <v>1</v>
      </c>
      <c r="CH9">
        <v>0</v>
      </c>
      <c r="CI9">
        <v>4</v>
      </c>
      <c r="CJ9">
        <v>4</v>
      </c>
      <c r="CK9">
        <v>2</v>
      </c>
      <c r="CL9">
        <v>1</v>
      </c>
      <c r="CM9">
        <v>3</v>
      </c>
      <c r="CN9">
        <v>3</v>
      </c>
      <c r="CO9">
        <v>2</v>
      </c>
      <c r="CP9">
        <v>4</v>
      </c>
      <c r="CQ9">
        <v>1</v>
      </c>
      <c r="CR9">
        <v>5</v>
      </c>
    </row>
    <row r="10" spans="1:96">
      <c r="A10">
        <v>9</v>
      </c>
      <c r="B10" s="20">
        <v>151</v>
      </c>
      <c r="C10">
        <v>4</v>
      </c>
      <c r="D10">
        <v>4</v>
      </c>
      <c r="E10">
        <v>1</v>
      </c>
      <c r="F10">
        <v>3</v>
      </c>
      <c r="G10">
        <v>4</v>
      </c>
      <c r="H10">
        <v>3</v>
      </c>
      <c r="I10">
        <v>1</v>
      </c>
      <c r="J10">
        <v>3</v>
      </c>
      <c r="K10">
        <v>3</v>
      </c>
      <c r="L10">
        <v>2</v>
      </c>
      <c r="M10">
        <v>2</v>
      </c>
      <c r="N10">
        <v>3</v>
      </c>
      <c r="O10">
        <v>3</v>
      </c>
      <c r="P10">
        <v>3</v>
      </c>
      <c r="Q10">
        <v>1</v>
      </c>
      <c r="R10">
        <v>3</v>
      </c>
      <c r="S10">
        <v>3</v>
      </c>
      <c r="T10">
        <v>3</v>
      </c>
      <c r="U10">
        <v>1</v>
      </c>
      <c r="V10">
        <v>3</v>
      </c>
      <c r="W10">
        <v>3</v>
      </c>
      <c r="X10">
        <v>2</v>
      </c>
      <c r="Y10">
        <v>2</v>
      </c>
      <c r="Z10">
        <v>3</v>
      </c>
      <c r="AA10">
        <v>3</v>
      </c>
      <c r="AB10">
        <v>2</v>
      </c>
      <c r="AC10">
        <v>3</v>
      </c>
      <c r="AD10">
        <v>3</v>
      </c>
      <c r="AE10">
        <v>3</v>
      </c>
      <c r="AF10">
        <v>3</v>
      </c>
      <c r="AG10">
        <v>1</v>
      </c>
      <c r="AH10">
        <v>3</v>
      </c>
      <c r="AI10">
        <v>3</v>
      </c>
      <c r="AJ10">
        <v>2</v>
      </c>
      <c r="AK10">
        <v>2</v>
      </c>
      <c r="AL10">
        <v>3</v>
      </c>
      <c r="AM10">
        <v>3</v>
      </c>
      <c r="AN10">
        <v>1</v>
      </c>
      <c r="AO10">
        <v>1</v>
      </c>
      <c r="AP10">
        <v>3</v>
      </c>
      <c r="AQ10">
        <v>3</v>
      </c>
      <c r="AR10">
        <v>2</v>
      </c>
      <c r="AS10">
        <v>1</v>
      </c>
      <c r="AT10">
        <v>3</v>
      </c>
      <c r="AU10">
        <v>2</v>
      </c>
      <c r="AV10">
        <v>2</v>
      </c>
      <c r="AW10">
        <v>2</v>
      </c>
      <c r="AX10">
        <v>2</v>
      </c>
      <c r="AY10">
        <v>4</v>
      </c>
      <c r="AZ10">
        <v>4</v>
      </c>
      <c r="BA10">
        <v>4</v>
      </c>
      <c r="BB10">
        <v>4</v>
      </c>
      <c r="BC10">
        <v>4</v>
      </c>
      <c r="BD10">
        <v>4</v>
      </c>
      <c r="BE10">
        <v>3</v>
      </c>
      <c r="BF10">
        <v>4</v>
      </c>
      <c r="BG10">
        <v>4</v>
      </c>
      <c r="BH10">
        <v>4</v>
      </c>
      <c r="BI10">
        <v>4</v>
      </c>
      <c r="BJ10">
        <v>4</v>
      </c>
      <c r="BK10">
        <v>3</v>
      </c>
      <c r="BL10">
        <v>4</v>
      </c>
      <c r="BM10">
        <v>4</v>
      </c>
      <c r="BN10">
        <v>3</v>
      </c>
      <c r="BO10">
        <v>4</v>
      </c>
      <c r="BP10">
        <v>4</v>
      </c>
      <c r="BQ10">
        <v>4</v>
      </c>
      <c r="BR10">
        <v>4</v>
      </c>
      <c r="BS10">
        <v>4</v>
      </c>
      <c r="BT10">
        <v>4</v>
      </c>
      <c r="BU10">
        <v>4</v>
      </c>
      <c r="BV10">
        <v>4</v>
      </c>
      <c r="BW10">
        <v>4</v>
      </c>
      <c r="BX10">
        <v>1</v>
      </c>
      <c r="BY10">
        <v>1</v>
      </c>
      <c r="BZ10">
        <v>0</v>
      </c>
      <c r="CA10">
        <v>0</v>
      </c>
      <c r="CB10">
        <v>0</v>
      </c>
      <c r="CC10">
        <v>1</v>
      </c>
      <c r="CD10">
        <v>0</v>
      </c>
      <c r="CE10">
        <v>1</v>
      </c>
      <c r="CF10">
        <v>0</v>
      </c>
      <c r="CG10">
        <v>1</v>
      </c>
      <c r="CH10">
        <v>0</v>
      </c>
      <c r="CI10">
        <v>3</v>
      </c>
      <c r="CJ10">
        <v>4</v>
      </c>
      <c r="CK10">
        <v>3</v>
      </c>
      <c r="CL10">
        <v>1</v>
      </c>
      <c r="CM10">
        <v>2</v>
      </c>
      <c r="CN10">
        <v>4</v>
      </c>
      <c r="CO10">
        <v>3</v>
      </c>
      <c r="CP10">
        <v>2</v>
      </c>
      <c r="CQ10">
        <v>1</v>
      </c>
      <c r="CR10">
        <v>1</v>
      </c>
    </row>
    <row r="11" spans="1:96">
      <c r="A11">
        <v>10</v>
      </c>
      <c r="B11" s="20">
        <v>158</v>
      </c>
      <c r="C11">
        <v>3</v>
      </c>
      <c r="D11">
        <v>3</v>
      </c>
      <c r="E11">
        <v>2</v>
      </c>
      <c r="F11">
        <v>2</v>
      </c>
      <c r="G11">
        <v>3</v>
      </c>
      <c r="H11">
        <v>2</v>
      </c>
      <c r="I11">
        <v>1</v>
      </c>
      <c r="J11">
        <v>2</v>
      </c>
      <c r="K11">
        <v>2</v>
      </c>
      <c r="L11">
        <v>2</v>
      </c>
      <c r="M11">
        <v>2</v>
      </c>
      <c r="N11">
        <v>3</v>
      </c>
      <c r="O11">
        <v>1</v>
      </c>
      <c r="P11">
        <v>4</v>
      </c>
      <c r="Q11">
        <v>4</v>
      </c>
      <c r="R11">
        <v>2</v>
      </c>
      <c r="S11">
        <v>1</v>
      </c>
      <c r="T11">
        <v>4</v>
      </c>
      <c r="U11">
        <v>2</v>
      </c>
      <c r="V11">
        <v>2</v>
      </c>
      <c r="W11">
        <v>2</v>
      </c>
      <c r="X11">
        <v>4</v>
      </c>
      <c r="Y11">
        <v>4</v>
      </c>
      <c r="Z11">
        <v>2</v>
      </c>
      <c r="AA11">
        <v>2</v>
      </c>
      <c r="AB11">
        <v>2</v>
      </c>
      <c r="AC11">
        <v>2</v>
      </c>
      <c r="AD11">
        <v>2</v>
      </c>
      <c r="AE11">
        <v>3</v>
      </c>
      <c r="AF11">
        <v>2</v>
      </c>
      <c r="AG11">
        <v>2</v>
      </c>
      <c r="AH11">
        <v>2</v>
      </c>
      <c r="AI11">
        <v>3</v>
      </c>
      <c r="AJ11">
        <v>1</v>
      </c>
      <c r="AK11">
        <v>1</v>
      </c>
      <c r="AL11">
        <v>3</v>
      </c>
      <c r="AM11">
        <v>3</v>
      </c>
      <c r="AN11">
        <v>2</v>
      </c>
      <c r="AO11">
        <v>1</v>
      </c>
      <c r="AP11">
        <v>2</v>
      </c>
      <c r="AQ11">
        <v>3</v>
      </c>
      <c r="AR11">
        <v>2</v>
      </c>
      <c r="AS11">
        <v>1</v>
      </c>
      <c r="AT11">
        <v>2</v>
      </c>
      <c r="AU11">
        <v>2</v>
      </c>
      <c r="AV11">
        <v>3</v>
      </c>
      <c r="AW11">
        <v>1</v>
      </c>
      <c r="AX11">
        <v>3</v>
      </c>
      <c r="AY11">
        <v>5</v>
      </c>
      <c r="AZ11">
        <v>5</v>
      </c>
      <c r="BA11">
        <v>4</v>
      </c>
      <c r="BB11">
        <v>5</v>
      </c>
      <c r="BC11">
        <v>4</v>
      </c>
      <c r="BD11">
        <v>4</v>
      </c>
      <c r="BE11">
        <v>2</v>
      </c>
      <c r="BF11">
        <v>3</v>
      </c>
      <c r="BG11">
        <v>3</v>
      </c>
      <c r="BH11">
        <v>5</v>
      </c>
      <c r="BI11">
        <v>4</v>
      </c>
      <c r="BJ11">
        <v>3</v>
      </c>
      <c r="BK11">
        <v>5</v>
      </c>
      <c r="BL11">
        <v>4</v>
      </c>
      <c r="BM11">
        <v>5</v>
      </c>
      <c r="BN11">
        <v>4</v>
      </c>
      <c r="BO11">
        <v>5</v>
      </c>
      <c r="BP11">
        <v>4</v>
      </c>
      <c r="BQ11">
        <v>5</v>
      </c>
      <c r="BR11">
        <v>5</v>
      </c>
      <c r="BS11">
        <v>5</v>
      </c>
      <c r="BT11">
        <v>4</v>
      </c>
      <c r="BU11">
        <v>4</v>
      </c>
      <c r="BV11">
        <v>5</v>
      </c>
      <c r="BW11">
        <v>5</v>
      </c>
      <c r="BX11">
        <v>1</v>
      </c>
      <c r="BY11">
        <v>0</v>
      </c>
      <c r="BZ11">
        <v>1</v>
      </c>
      <c r="CA11">
        <v>0</v>
      </c>
      <c r="CB11">
        <v>0</v>
      </c>
      <c r="CC11">
        <v>1</v>
      </c>
      <c r="CD11">
        <v>0</v>
      </c>
      <c r="CE11">
        <v>1</v>
      </c>
      <c r="CF11">
        <v>1</v>
      </c>
      <c r="CG11">
        <v>1</v>
      </c>
      <c r="CH11">
        <v>0</v>
      </c>
      <c r="CI11">
        <v>4</v>
      </c>
      <c r="CJ11">
        <v>3</v>
      </c>
      <c r="CK11">
        <v>4</v>
      </c>
      <c r="CL11">
        <v>2</v>
      </c>
      <c r="CM11">
        <v>1</v>
      </c>
      <c r="CN11">
        <v>3</v>
      </c>
      <c r="CO11">
        <v>4</v>
      </c>
      <c r="CP11">
        <v>2</v>
      </c>
      <c r="CQ11">
        <v>1</v>
      </c>
      <c r="CR11">
        <v>2</v>
      </c>
    </row>
    <row r="12" spans="1:96">
      <c r="A12">
        <v>11</v>
      </c>
      <c r="B12" s="20">
        <v>161</v>
      </c>
      <c r="C12">
        <v>4</v>
      </c>
      <c r="D12">
        <v>5</v>
      </c>
      <c r="E12">
        <v>1</v>
      </c>
      <c r="F12">
        <v>1</v>
      </c>
      <c r="G12">
        <v>4</v>
      </c>
      <c r="H12">
        <v>5</v>
      </c>
      <c r="I12">
        <v>1</v>
      </c>
      <c r="J12">
        <v>1</v>
      </c>
      <c r="K12">
        <v>3</v>
      </c>
      <c r="L12">
        <v>5</v>
      </c>
      <c r="M12">
        <v>1</v>
      </c>
      <c r="N12">
        <v>4</v>
      </c>
      <c r="O12">
        <v>3</v>
      </c>
      <c r="P12">
        <v>5</v>
      </c>
      <c r="Q12">
        <v>1</v>
      </c>
      <c r="R12">
        <v>1</v>
      </c>
      <c r="S12">
        <v>3</v>
      </c>
      <c r="T12">
        <v>5</v>
      </c>
      <c r="U12">
        <v>1</v>
      </c>
      <c r="V12">
        <v>1</v>
      </c>
      <c r="W12">
        <v>3</v>
      </c>
      <c r="X12">
        <v>5</v>
      </c>
      <c r="Y12">
        <v>2</v>
      </c>
      <c r="Z12">
        <v>2</v>
      </c>
      <c r="AA12">
        <v>2</v>
      </c>
      <c r="AB12">
        <v>5</v>
      </c>
      <c r="AC12">
        <v>1</v>
      </c>
      <c r="AD12">
        <v>1</v>
      </c>
      <c r="AE12">
        <v>2</v>
      </c>
      <c r="AF12">
        <v>5</v>
      </c>
      <c r="AG12">
        <v>1</v>
      </c>
      <c r="AH12">
        <v>2</v>
      </c>
      <c r="AI12">
        <v>2</v>
      </c>
      <c r="AJ12">
        <v>5</v>
      </c>
      <c r="AK12">
        <v>2</v>
      </c>
      <c r="AL12">
        <v>2</v>
      </c>
      <c r="AM12">
        <v>4</v>
      </c>
      <c r="AN12">
        <v>4</v>
      </c>
      <c r="AO12">
        <v>1</v>
      </c>
      <c r="AP12">
        <v>1</v>
      </c>
      <c r="AQ12">
        <v>5</v>
      </c>
      <c r="AR12">
        <v>4</v>
      </c>
      <c r="AS12">
        <v>1</v>
      </c>
      <c r="AT12">
        <v>1</v>
      </c>
      <c r="AU12">
        <v>3</v>
      </c>
      <c r="AV12">
        <v>4</v>
      </c>
      <c r="AW12">
        <v>1</v>
      </c>
      <c r="AX12">
        <v>5</v>
      </c>
      <c r="AY12">
        <v>5</v>
      </c>
      <c r="AZ12">
        <v>5</v>
      </c>
      <c r="BA12">
        <v>5</v>
      </c>
      <c r="BB12">
        <v>5</v>
      </c>
      <c r="BC12">
        <v>5</v>
      </c>
      <c r="BD12">
        <v>5</v>
      </c>
      <c r="BE12">
        <v>2</v>
      </c>
      <c r="BF12">
        <v>3</v>
      </c>
      <c r="BG12">
        <v>3</v>
      </c>
      <c r="BH12">
        <v>5</v>
      </c>
      <c r="BI12">
        <v>4</v>
      </c>
      <c r="BJ12">
        <v>3</v>
      </c>
      <c r="BK12">
        <v>4</v>
      </c>
      <c r="BL12">
        <v>4</v>
      </c>
      <c r="BM12">
        <v>3</v>
      </c>
      <c r="BN12">
        <v>4</v>
      </c>
      <c r="BO12">
        <v>4</v>
      </c>
      <c r="BP12">
        <v>4</v>
      </c>
      <c r="BQ12">
        <v>4</v>
      </c>
      <c r="BR12">
        <v>4</v>
      </c>
      <c r="BS12">
        <v>4</v>
      </c>
      <c r="BT12">
        <v>4</v>
      </c>
      <c r="BU12">
        <v>4</v>
      </c>
      <c r="BV12">
        <v>4</v>
      </c>
      <c r="BW12">
        <v>4</v>
      </c>
      <c r="BX12">
        <v>1</v>
      </c>
      <c r="BY12">
        <v>0</v>
      </c>
      <c r="BZ12">
        <v>0</v>
      </c>
      <c r="CA12">
        <v>0</v>
      </c>
      <c r="CB12">
        <v>1</v>
      </c>
      <c r="CC12">
        <v>1</v>
      </c>
      <c r="CD12">
        <v>0</v>
      </c>
      <c r="CE12">
        <v>1</v>
      </c>
      <c r="CF12">
        <v>0</v>
      </c>
      <c r="CG12">
        <v>0</v>
      </c>
      <c r="CH12">
        <v>0</v>
      </c>
      <c r="CI12">
        <v>3</v>
      </c>
      <c r="CJ12">
        <v>2</v>
      </c>
      <c r="CK12">
        <v>4</v>
      </c>
      <c r="CL12">
        <v>3</v>
      </c>
      <c r="CM12">
        <v>1</v>
      </c>
      <c r="CN12">
        <v>2</v>
      </c>
      <c r="CO12">
        <v>3</v>
      </c>
      <c r="CP12">
        <v>4</v>
      </c>
      <c r="CQ12">
        <v>1</v>
      </c>
      <c r="CR12">
        <v>1</v>
      </c>
    </row>
    <row r="13" spans="1:96">
      <c r="A13">
        <v>12</v>
      </c>
      <c r="B13" s="20">
        <v>163</v>
      </c>
      <c r="C13">
        <v>4</v>
      </c>
      <c r="D13">
        <v>4</v>
      </c>
      <c r="E13">
        <v>2</v>
      </c>
      <c r="F13">
        <v>2</v>
      </c>
      <c r="G13">
        <v>3</v>
      </c>
      <c r="H13">
        <v>4</v>
      </c>
      <c r="I13">
        <v>1</v>
      </c>
      <c r="J13">
        <v>2</v>
      </c>
      <c r="K13">
        <v>3</v>
      </c>
      <c r="L13">
        <v>2</v>
      </c>
      <c r="M13">
        <v>2</v>
      </c>
      <c r="N13">
        <v>3</v>
      </c>
      <c r="O13">
        <v>3</v>
      </c>
      <c r="P13">
        <v>4</v>
      </c>
      <c r="Q13">
        <v>2</v>
      </c>
      <c r="R13">
        <v>1</v>
      </c>
      <c r="S13">
        <v>3</v>
      </c>
      <c r="T13">
        <v>4</v>
      </c>
      <c r="U13">
        <v>2</v>
      </c>
      <c r="V13">
        <v>1</v>
      </c>
      <c r="W13">
        <v>3</v>
      </c>
      <c r="X13">
        <v>2</v>
      </c>
      <c r="Y13">
        <v>1</v>
      </c>
      <c r="Z13">
        <v>2</v>
      </c>
      <c r="AA13">
        <v>4</v>
      </c>
      <c r="AB13">
        <v>2</v>
      </c>
      <c r="AC13">
        <v>1</v>
      </c>
      <c r="AD13">
        <v>1</v>
      </c>
      <c r="AE13">
        <v>3</v>
      </c>
      <c r="AF13">
        <v>4</v>
      </c>
      <c r="AG13">
        <v>1</v>
      </c>
      <c r="AH13">
        <v>1</v>
      </c>
      <c r="AI13">
        <v>2</v>
      </c>
      <c r="AJ13">
        <v>2</v>
      </c>
      <c r="AK13">
        <v>1</v>
      </c>
      <c r="AL13">
        <v>3</v>
      </c>
      <c r="AM13">
        <v>5</v>
      </c>
      <c r="AN13">
        <v>3</v>
      </c>
      <c r="AO13">
        <v>1</v>
      </c>
      <c r="AP13">
        <v>1</v>
      </c>
      <c r="AQ13">
        <v>3</v>
      </c>
      <c r="AR13">
        <v>3</v>
      </c>
      <c r="AS13">
        <v>1</v>
      </c>
      <c r="AT13">
        <v>1</v>
      </c>
      <c r="AU13">
        <v>2</v>
      </c>
      <c r="AV13">
        <v>2</v>
      </c>
      <c r="AW13">
        <v>1</v>
      </c>
      <c r="AX13">
        <v>2</v>
      </c>
      <c r="AY13">
        <v>5</v>
      </c>
      <c r="AZ13">
        <v>4</v>
      </c>
      <c r="BA13">
        <v>5</v>
      </c>
      <c r="BB13">
        <v>4</v>
      </c>
      <c r="BC13">
        <v>5</v>
      </c>
      <c r="BD13">
        <v>5</v>
      </c>
      <c r="BE13">
        <v>4</v>
      </c>
      <c r="BF13">
        <v>5</v>
      </c>
      <c r="BG13">
        <v>4</v>
      </c>
      <c r="BH13">
        <v>3</v>
      </c>
      <c r="BI13">
        <v>4</v>
      </c>
      <c r="BJ13">
        <v>5</v>
      </c>
      <c r="BK13">
        <v>4</v>
      </c>
      <c r="BL13">
        <v>3</v>
      </c>
      <c r="BM13">
        <v>4</v>
      </c>
      <c r="BN13">
        <v>4</v>
      </c>
      <c r="BO13">
        <v>4</v>
      </c>
      <c r="BP13">
        <v>4</v>
      </c>
      <c r="BQ13">
        <v>5</v>
      </c>
      <c r="BR13">
        <v>4</v>
      </c>
      <c r="BS13">
        <v>4</v>
      </c>
      <c r="BT13">
        <v>4</v>
      </c>
      <c r="BU13">
        <v>5</v>
      </c>
      <c r="BV13">
        <v>4</v>
      </c>
      <c r="BW13">
        <v>4</v>
      </c>
      <c r="BX13">
        <v>1</v>
      </c>
      <c r="BY13">
        <v>1</v>
      </c>
      <c r="BZ13">
        <v>1</v>
      </c>
      <c r="CA13">
        <v>1</v>
      </c>
      <c r="CB13">
        <v>1</v>
      </c>
      <c r="CC13">
        <v>1</v>
      </c>
      <c r="CD13">
        <v>0</v>
      </c>
      <c r="CE13">
        <v>0</v>
      </c>
      <c r="CF13">
        <v>0</v>
      </c>
      <c r="CG13">
        <v>1</v>
      </c>
      <c r="CH13">
        <v>0</v>
      </c>
      <c r="CI13">
        <v>4</v>
      </c>
      <c r="CJ13">
        <v>4</v>
      </c>
      <c r="CK13">
        <v>1</v>
      </c>
      <c r="CL13">
        <v>2</v>
      </c>
      <c r="CM13">
        <v>3</v>
      </c>
      <c r="CN13">
        <v>4</v>
      </c>
      <c r="CO13">
        <v>2</v>
      </c>
      <c r="CP13">
        <v>3</v>
      </c>
      <c r="CQ13">
        <v>1</v>
      </c>
      <c r="CR13">
        <v>2</v>
      </c>
    </row>
    <row r="14" spans="1:96">
      <c r="A14">
        <v>13</v>
      </c>
      <c r="B14" s="20">
        <v>180</v>
      </c>
      <c r="C14">
        <v>3</v>
      </c>
      <c r="D14">
        <v>3</v>
      </c>
      <c r="E14">
        <v>2</v>
      </c>
      <c r="F14">
        <v>3</v>
      </c>
      <c r="G14">
        <v>3</v>
      </c>
      <c r="H14">
        <v>2</v>
      </c>
      <c r="I14">
        <v>3</v>
      </c>
      <c r="J14">
        <v>3</v>
      </c>
      <c r="K14">
        <v>3</v>
      </c>
      <c r="L14">
        <v>4</v>
      </c>
      <c r="M14">
        <v>3</v>
      </c>
      <c r="N14">
        <v>3</v>
      </c>
      <c r="O14">
        <v>3</v>
      </c>
      <c r="P14">
        <v>1</v>
      </c>
      <c r="Q14">
        <v>3</v>
      </c>
      <c r="R14">
        <v>3</v>
      </c>
      <c r="S14">
        <v>3</v>
      </c>
      <c r="T14">
        <v>3</v>
      </c>
      <c r="U14">
        <v>3</v>
      </c>
      <c r="V14">
        <v>3</v>
      </c>
      <c r="W14">
        <v>3</v>
      </c>
      <c r="X14">
        <v>2</v>
      </c>
      <c r="Y14">
        <v>2</v>
      </c>
      <c r="Z14">
        <v>3</v>
      </c>
      <c r="AA14">
        <v>2</v>
      </c>
      <c r="AB14">
        <v>4</v>
      </c>
      <c r="AC14">
        <v>3</v>
      </c>
      <c r="AD14">
        <v>2</v>
      </c>
      <c r="AE14">
        <v>2</v>
      </c>
      <c r="AF14">
        <v>4</v>
      </c>
      <c r="AG14">
        <v>3</v>
      </c>
      <c r="AH14">
        <v>3</v>
      </c>
      <c r="AI14">
        <v>3</v>
      </c>
      <c r="AJ14">
        <v>2</v>
      </c>
      <c r="AK14">
        <v>3</v>
      </c>
      <c r="AL14">
        <v>3</v>
      </c>
      <c r="AM14">
        <v>2</v>
      </c>
      <c r="AN14">
        <v>1</v>
      </c>
      <c r="AO14">
        <v>3</v>
      </c>
      <c r="AP14">
        <v>3</v>
      </c>
      <c r="AQ14">
        <v>3</v>
      </c>
      <c r="AR14">
        <v>1</v>
      </c>
      <c r="AS14">
        <v>3</v>
      </c>
      <c r="AT14">
        <v>3</v>
      </c>
      <c r="AU14">
        <v>3</v>
      </c>
      <c r="AV14">
        <v>3</v>
      </c>
      <c r="AW14">
        <v>3</v>
      </c>
      <c r="AX14">
        <v>3</v>
      </c>
      <c r="AY14">
        <v>4</v>
      </c>
      <c r="AZ14">
        <v>4</v>
      </c>
      <c r="BA14">
        <v>4</v>
      </c>
      <c r="BB14">
        <v>4</v>
      </c>
      <c r="BC14">
        <v>4</v>
      </c>
      <c r="BD14">
        <v>4</v>
      </c>
      <c r="BE14">
        <v>4</v>
      </c>
      <c r="BF14">
        <v>4</v>
      </c>
      <c r="BG14">
        <v>4</v>
      </c>
      <c r="BH14">
        <v>4</v>
      </c>
      <c r="BI14">
        <v>4</v>
      </c>
      <c r="BJ14">
        <v>4</v>
      </c>
      <c r="BK14">
        <v>4</v>
      </c>
      <c r="BL14">
        <v>4</v>
      </c>
      <c r="BM14">
        <v>3</v>
      </c>
      <c r="BN14">
        <v>3</v>
      </c>
      <c r="BO14">
        <v>4</v>
      </c>
      <c r="BP14">
        <v>4</v>
      </c>
      <c r="BQ14">
        <v>4</v>
      </c>
      <c r="BR14">
        <v>4</v>
      </c>
      <c r="BS14">
        <v>4</v>
      </c>
      <c r="BT14">
        <v>4</v>
      </c>
      <c r="BU14">
        <v>4</v>
      </c>
      <c r="BV14">
        <v>4</v>
      </c>
      <c r="BW14">
        <v>4</v>
      </c>
      <c r="BX14">
        <v>1</v>
      </c>
      <c r="BY14">
        <v>0</v>
      </c>
      <c r="BZ14">
        <v>1</v>
      </c>
      <c r="CA14">
        <v>1</v>
      </c>
      <c r="CB14">
        <v>0</v>
      </c>
      <c r="CC14">
        <v>1</v>
      </c>
      <c r="CD14">
        <v>0</v>
      </c>
      <c r="CE14">
        <v>1</v>
      </c>
      <c r="CF14">
        <v>1</v>
      </c>
      <c r="CG14">
        <v>1</v>
      </c>
      <c r="CH14">
        <v>1</v>
      </c>
      <c r="CI14">
        <v>3</v>
      </c>
      <c r="CJ14">
        <v>2</v>
      </c>
      <c r="CK14">
        <v>3</v>
      </c>
      <c r="CL14">
        <v>4</v>
      </c>
      <c r="CM14">
        <v>1</v>
      </c>
      <c r="CN14">
        <v>2</v>
      </c>
      <c r="CO14">
        <v>3</v>
      </c>
      <c r="CP14">
        <v>4</v>
      </c>
      <c r="CQ14">
        <v>1</v>
      </c>
      <c r="CR14">
        <v>3</v>
      </c>
    </row>
    <row r="15" spans="1:96">
      <c r="A15">
        <v>14</v>
      </c>
      <c r="B15" s="20">
        <v>174</v>
      </c>
      <c r="C15">
        <v>3</v>
      </c>
      <c r="D15">
        <v>4</v>
      </c>
      <c r="E15">
        <v>2</v>
      </c>
      <c r="F15">
        <v>3</v>
      </c>
      <c r="G15">
        <v>3</v>
      </c>
      <c r="H15">
        <v>2</v>
      </c>
      <c r="I15">
        <v>2</v>
      </c>
      <c r="J15">
        <v>3</v>
      </c>
      <c r="K15">
        <v>3</v>
      </c>
      <c r="L15">
        <v>2</v>
      </c>
      <c r="M15">
        <v>1</v>
      </c>
      <c r="N15">
        <v>3</v>
      </c>
      <c r="O15">
        <v>3</v>
      </c>
      <c r="P15">
        <v>2</v>
      </c>
      <c r="Q15">
        <v>1</v>
      </c>
      <c r="R15">
        <v>3</v>
      </c>
      <c r="S15">
        <v>2</v>
      </c>
      <c r="T15">
        <v>2</v>
      </c>
      <c r="U15">
        <v>1</v>
      </c>
      <c r="V15">
        <v>3</v>
      </c>
      <c r="W15">
        <v>2</v>
      </c>
      <c r="X15">
        <v>1</v>
      </c>
      <c r="Y15">
        <v>1</v>
      </c>
      <c r="Z15">
        <v>3</v>
      </c>
      <c r="AA15">
        <v>4</v>
      </c>
      <c r="AB15">
        <v>2</v>
      </c>
      <c r="AC15">
        <v>2</v>
      </c>
      <c r="AD15">
        <v>4</v>
      </c>
      <c r="AE15">
        <v>2</v>
      </c>
      <c r="AF15">
        <v>2</v>
      </c>
      <c r="AG15">
        <v>1</v>
      </c>
      <c r="AH15">
        <v>3</v>
      </c>
      <c r="AI15">
        <v>3</v>
      </c>
      <c r="AJ15">
        <v>2</v>
      </c>
      <c r="AK15">
        <v>2</v>
      </c>
      <c r="AL15">
        <v>2</v>
      </c>
      <c r="AM15">
        <v>5</v>
      </c>
      <c r="AN15">
        <v>2</v>
      </c>
      <c r="AO15">
        <v>1</v>
      </c>
      <c r="AP15">
        <v>3</v>
      </c>
      <c r="AQ15">
        <v>1</v>
      </c>
      <c r="AR15">
        <v>1</v>
      </c>
      <c r="AS15">
        <v>1</v>
      </c>
      <c r="AT15">
        <v>3</v>
      </c>
      <c r="AU15">
        <v>3</v>
      </c>
      <c r="AV15">
        <v>2</v>
      </c>
      <c r="AW15">
        <v>2</v>
      </c>
      <c r="AX15">
        <v>3</v>
      </c>
      <c r="AY15">
        <v>4</v>
      </c>
      <c r="AZ15">
        <v>4</v>
      </c>
      <c r="BA15">
        <v>5</v>
      </c>
      <c r="BB15">
        <v>4</v>
      </c>
      <c r="BC15">
        <v>4</v>
      </c>
      <c r="BD15">
        <v>5</v>
      </c>
      <c r="BE15">
        <v>4</v>
      </c>
      <c r="BF15">
        <v>4</v>
      </c>
      <c r="BG15">
        <v>4</v>
      </c>
      <c r="BH15">
        <v>5</v>
      </c>
      <c r="BI15">
        <v>5</v>
      </c>
      <c r="BJ15">
        <v>4</v>
      </c>
      <c r="BK15">
        <v>5</v>
      </c>
      <c r="BL15">
        <v>5</v>
      </c>
      <c r="BM15">
        <v>5</v>
      </c>
      <c r="BN15">
        <v>5</v>
      </c>
      <c r="BO15">
        <v>5</v>
      </c>
      <c r="BP15">
        <v>4</v>
      </c>
      <c r="BQ15">
        <v>4</v>
      </c>
      <c r="BR15">
        <v>4</v>
      </c>
      <c r="BS15">
        <v>4</v>
      </c>
      <c r="BT15">
        <v>5</v>
      </c>
      <c r="BU15">
        <v>5</v>
      </c>
      <c r="BV15">
        <v>5</v>
      </c>
      <c r="BW15">
        <v>5</v>
      </c>
      <c r="BX15">
        <v>1</v>
      </c>
      <c r="BY15">
        <v>1</v>
      </c>
      <c r="BZ15">
        <v>1</v>
      </c>
      <c r="CA15">
        <v>1</v>
      </c>
      <c r="CB15">
        <v>0</v>
      </c>
      <c r="CC15">
        <v>1</v>
      </c>
      <c r="CD15">
        <v>0</v>
      </c>
      <c r="CE15">
        <v>1</v>
      </c>
      <c r="CF15">
        <v>1</v>
      </c>
      <c r="CG15">
        <v>1</v>
      </c>
      <c r="CH15">
        <v>1</v>
      </c>
      <c r="CI15">
        <v>4</v>
      </c>
      <c r="CJ15">
        <v>1</v>
      </c>
      <c r="CK15">
        <v>4</v>
      </c>
      <c r="CL15">
        <v>3</v>
      </c>
      <c r="CM15">
        <v>2</v>
      </c>
      <c r="CN15">
        <v>1</v>
      </c>
      <c r="CO15">
        <v>2</v>
      </c>
      <c r="CP15">
        <v>3</v>
      </c>
      <c r="CQ15">
        <v>4</v>
      </c>
      <c r="CR15">
        <v>3</v>
      </c>
    </row>
    <row r="16" spans="1:96">
      <c r="A16">
        <v>15</v>
      </c>
      <c r="B16" s="20">
        <v>189</v>
      </c>
      <c r="C16">
        <v>4</v>
      </c>
      <c r="D16">
        <v>2</v>
      </c>
      <c r="E16">
        <v>1</v>
      </c>
      <c r="F16">
        <v>3</v>
      </c>
      <c r="G16">
        <v>4</v>
      </c>
      <c r="H16">
        <v>2</v>
      </c>
      <c r="I16">
        <v>1</v>
      </c>
      <c r="J16">
        <v>2</v>
      </c>
      <c r="K16">
        <v>2</v>
      </c>
      <c r="L16">
        <v>1</v>
      </c>
      <c r="M16">
        <v>1</v>
      </c>
      <c r="N16">
        <v>3</v>
      </c>
      <c r="O16">
        <v>2</v>
      </c>
      <c r="P16">
        <v>4</v>
      </c>
      <c r="Q16">
        <v>1</v>
      </c>
      <c r="R16">
        <v>2</v>
      </c>
      <c r="S16">
        <v>2</v>
      </c>
      <c r="T16">
        <v>4</v>
      </c>
      <c r="U16">
        <v>1</v>
      </c>
      <c r="V16">
        <v>1</v>
      </c>
      <c r="W16">
        <v>2</v>
      </c>
      <c r="X16">
        <v>3</v>
      </c>
      <c r="Y16">
        <v>1</v>
      </c>
      <c r="Z16">
        <v>2</v>
      </c>
      <c r="AA16">
        <v>2</v>
      </c>
      <c r="AB16">
        <v>2</v>
      </c>
      <c r="AC16">
        <v>1</v>
      </c>
      <c r="AD16">
        <v>2</v>
      </c>
      <c r="AE16">
        <v>3</v>
      </c>
      <c r="AF16">
        <v>3</v>
      </c>
      <c r="AG16">
        <v>1</v>
      </c>
      <c r="AH16">
        <v>2</v>
      </c>
      <c r="AI16">
        <v>3</v>
      </c>
      <c r="AJ16">
        <v>3</v>
      </c>
      <c r="AK16">
        <v>1</v>
      </c>
      <c r="AL16">
        <v>2</v>
      </c>
      <c r="AM16">
        <v>5</v>
      </c>
      <c r="AN16">
        <v>1</v>
      </c>
      <c r="AO16">
        <v>1</v>
      </c>
      <c r="AP16">
        <v>3</v>
      </c>
      <c r="AQ16">
        <v>4</v>
      </c>
      <c r="AR16">
        <v>2</v>
      </c>
      <c r="AS16">
        <v>1</v>
      </c>
      <c r="AT16">
        <v>3</v>
      </c>
      <c r="AU16">
        <v>2</v>
      </c>
      <c r="AV16">
        <v>1</v>
      </c>
      <c r="AW16">
        <v>1</v>
      </c>
      <c r="AX16">
        <v>4</v>
      </c>
      <c r="AY16">
        <v>4</v>
      </c>
      <c r="AZ16">
        <v>4</v>
      </c>
      <c r="BA16">
        <v>3</v>
      </c>
      <c r="BB16">
        <v>4</v>
      </c>
      <c r="BC16">
        <v>4</v>
      </c>
      <c r="BD16">
        <v>4</v>
      </c>
      <c r="BE16">
        <v>4</v>
      </c>
      <c r="BF16">
        <v>4</v>
      </c>
      <c r="BG16">
        <v>4</v>
      </c>
      <c r="BH16">
        <v>4</v>
      </c>
      <c r="BI16">
        <v>3</v>
      </c>
      <c r="BJ16">
        <v>4</v>
      </c>
      <c r="BK16">
        <v>4</v>
      </c>
      <c r="BL16">
        <v>3</v>
      </c>
      <c r="BM16">
        <v>4</v>
      </c>
      <c r="BN16">
        <v>3</v>
      </c>
      <c r="BO16">
        <v>4</v>
      </c>
      <c r="BP16">
        <v>4</v>
      </c>
      <c r="BQ16">
        <v>4</v>
      </c>
      <c r="BR16">
        <v>3</v>
      </c>
      <c r="BS16">
        <v>4</v>
      </c>
      <c r="BT16">
        <v>4</v>
      </c>
      <c r="BU16">
        <v>4</v>
      </c>
      <c r="BV16">
        <v>4</v>
      </c>
      <c r="BW16">
        <v>4</v>
      </c>
      <c r="BX16">
        <v>1</v>
      </c>
      <c r="BY16">
        <v>1</v>
      </c>
      <c r="BZ16">
        <v>1</v>
      </c>
      <c r="CA16">
        <v>0</v>
      </c>
      <c r="CB16">
        <v>1</v>
      </c>
      <c r="CC16">
        <v>1</v>
      </c>
      <c r="CD16">
        <v>0</v>
      </c>
      <c r="CE16">
        <v>1</v>
      </c>
      <c r="CF16">
        <v>1</v>
      </c>
      <c r="CG16">
        <v>0</v>
      </c>
      <c r="CH16">
        <v>1</v>
      </c>
      <c r="CI16">
        <v>4</v>
      </c>
      <c r="CJ16">
        <v>2</v>
      </c>
      <c r="CK16">
        <v>4</v>
      </c>
      <c r="CL16">
        <v>1</v>
      </c>
      <c r="CM16">
        <v>3</v>
      </c>
      <c r="CN16">
        <v>3</v>
      </c>
      <c r="CO16">
        <v>4</v>
      </c>
      <c r="CP16">
        <v>1</v>
      </c>
      <c r="CQ16">
        <v>2</v>
      </c>
      <c r="CR16">
        <v>3</v>
      </c>
    </row>
    <row r="17" spans="1:96">
      <c r="A17">
        <v>16</v>
      </c>
      <c r="B17" s="20">
        <v>168</v>
      </c>
      <c r="C17">
        <v>3</v>
      </c>
      <c r="D17">
        <v>4</v>
      </c>
      <c r="E17">
        <v>3</v>
      </c>
      <c r="F17">
        <v>2</v>
      </c>
      <c r="G17">
        <v>2</v>
      </c>
      <c r="H17">
        <v>4</v>
      </c>
      <c r="I17">
        <v>3</v>
      </c>
      <c r="J17">
        <v>3</v>
      </c>
      <c r="K17">
        <v>3</v>
      </c>
      <c r="L17">
        <v>4</v>
      </c>
      <c r="M17">
        <v>2</v>
      </c>
      <c r="N17">
        <v>3</v>
      </c>
      <c r="O17">
        <v>2</v>
      </c>
      <c r="P17">
        <v>5</v>
      </c>
      <c r="Q17">
        <v>3</v>
      </c>
      <c r="R17">
        <v>2</v>
      </c>
      <c r="S17">
        <v>2</v>
      </c>
      <c r="T17">
        <v>4</v>
      </c>
      <c r="U17">
        <v>3</v>
      </c>
      <c r="V17">
        <v>2</v>
      </c>
      <c r="W17">
        <v>2</v>
      </c>
      <c r="X17">
        <v>4</v>
      </c>
      <c r="Y17">
        <v>4</v>
      </c>
      <c r="Z17">
        <v>2</v>
      </c>
      <c r="AA17">
        <v>3</v>
      </c>
      <c r="AB17">
        <v>3</v>
      </c>
      <c r="AC17">
        <v>4</v>
      </c>
      <c r="AD17">
        <v>3</v>
      </c>
      <c r="AE17">
        <v>3</v>
      </c>
      <c r="AF17">
        <v>3</v>
      </c>
      <c r="AG17">
        <v>3</v>
      </c>
      <c r="AH17">
        <v>3</v>
      </c>
      <c r="AI17">
        <v>3</v>
      </c>
      <c r="AJ17">
        <v>2</v>
      </c>
      <c r="AK17">
        <v>4</v>
      </c>
      <c r="AL17">
        <v>2</v>
      </c>
      <c r="AM17">
        <v>4</v>
      </c>
      <c r="AN17">
        <v>3</v>
      </c>
      <c r="AO17">
        <v>1</v>
      </c>
      <c r="AP17">
        <v>4</v>
      </c>
      <c r="AQ17">
        <v>4</v>
      </c>
      <c r="AR17">
        <v>3</v>
      </c>
      <c r="AS17">
        <v>2</v>
      </c>
      <c r="AT17">
        <v>4</v>
      </c>
      <c r="AU17">
        <v>3</v>
      </c>
      <c r="AV17">
        <v>2</v>
      </c>
      <c r="AW17">
        <v>1</v>
      </c>
      <c r="AX17">
        <v>3</v>
      </c>
      <c r="AY17">
        <v>4</v>
      </c>
      <c r="AZ17">
        <v>2</v>
      </c>
      <c r="BA17">
        <v>3</v>
      </c>
      <c r="BB17">
        <v>4</v>
      </c>
      <c r="BC17">
        <v>4</v>
      </c>
      <c r="BD17">
        <v>3</v>
      </c>
      <c r="BE17">
        <v>3</v>
      </c>
      <c r="BF17">
        <v>3</v>
      </c>
      <c r="BG17">
        <v>4</v>
      </c>
      <c r="BH17">
        <v>3</v>
      </c>
      <c r="BI17">
        <v>3</v>
      </c>
      <c r="BJ17">
        <v>4</v>
      </c>
      <c r="BK17">
        <v>3</v>
      </c>
      <c r="BL17">
        <v>4</v>
      </c>
      <c r="BM17">
        <v>4</v>
      </c>
      <c r="BN17">
        <v>3</v>
      </c>
      <c r="BO17">
        <v>4</v>
      </c>
      <c r="BP17">
        <v>4</v>
      </c>
      <c r="BQ17">
        <v>4</v>
      </c>
      <c r="BR17">
        <v>4</v>
      </c>
      <c r="BS17">
        <v>2</v>
      </c>
      <c r="BT17">
        <v>3</v>
      </c>
      <c r="BU17">
        <v>3</v>
      </c>
      <c r="BV17">
        <v>4</v>
      </c>
      <c r="BW17">
        <v>4</v>
      </c>
      <c r="BX17">
        <v>1</v>
      </c>
      <c r="BY17">
        <v>0</v>
      </c>
      <c r="BZ17">
        <v>1</v>
      </c>
      <c r="CA17">
        <v>0</v>
      </c>
      <c r="CB17">
        <v>0</v>
      </c>
      <c r="CC17">
        <v>1</v>
      </c>
      <c r="CD17">
        <v>0</v>
      </c>
      <c r="CE17">
        <v>1</v>
      </c>
      <c r="CF17">
        <v>0</v>
      </c>
      <c r="CG17">
        <v>1</v>
      </c>
      <c r="CH17">
        <v>0</v>
      </c>
      <c r="CI17">
        <v>2</v>
      </c>
      <c r="CJ17">
        <v>2</v>
      </c>
      <c r="CK17">
        <v>4</v>
      </c>
      <c r="CL17">
        <v>3</v>
      </c>
      <c r="CM17">
        <v>1</v>
      </c>
      <c r="CN17">
        <v>2</v>
      </c>
      <c r="CO17">
        <v>3</v>
      </c>
      <c r="CP17">
        <v>4</v>
      </c>
      <c r="CQ17">
        <v>1</v>
      </c>
      <c r="CR17">
        <v>2</v>
      </c>
    </row>
    <row r="18" spans="1:96">
      <c r="A18">
        <v>17</v>
      </c>
      <c r="B18" s="20">
        <v>182</v>
      </c>
      <c r="C18">
        <v>4</v>
      </c>
      <c r="D18">
        <v>3</v>
      </c>
      <c r="E18">
        <v>1</v>
      </c>
      <c r="F18">
        <v>3</v>
      </c>
      <c r="G18">
        <v>3</v>
      </c>
      <c r="H18">
        <v>2</v>
      </c>
      <c r="I18">
        <v>1</v>
      </c>
      <c r="J18">
        <v>2</v>
      </c>
      <c r="K18">
        <v>4</v>
      </c>
      <c r="L18">
        <v>2</v>
      </c>
      <c r="M18">
        <v>1</v>
      </c>
      <c r="N18">
        <v>4</v>
      </c>
      <c r="O18">
        <v>3</v>
      </c>
      <c r="P18">
        <v>2</v>
      </c>
      <c r="Q18">
        <v>2</v>
      </c>
      <c r="R18">
        <v>3</v>
      </c>
      <c r="S18">
        <v>2</v>
      </c>
      <c r="T18">
        <v>1</v>
      </c>
      <c r="U18">
        <v>1</v>
      </c>
      <c r="V18">
        <v>3</v>
      </c>
      <c r="W18">
        <v>2</v>
      </c>
      <c r="X18">
        <v>1</v>
      </c>
      <c r="Y18">
        <v>1</v>
      </c>
      <c r="Z18">
        <v>3</v>
      </c>
      <c r="AA18">
        <v>3</v>
      </c>
      <c r="AB18">
        <v>3</v>
      </c>
      <c r="AC18">
        <v>1</v>
      </c>
      <c r="AD18">
        <v>2</v>
      </c>
      <c r="AE18">
        <v>3</v>
      </c>
      <c r="AF18">
        <v>2</v>
      </c>
      <c r="AG18">
        <v>1</v>
      </c>
      <c r="AH18">
        <v>2</v>
      </c>
      <c r="AI18">
        <v>3</v>
      </c>
      <c r="AJ18">
        <v>2</v>
      </c>
      <c r="AK18">
        <v>1</v>
      </c>
      <c r="AL18">
        <v>4</v>
      </c>
      <c r="AM18">
        <v>5</v>
      </c>
      <c r="AN18">
        <v>2</v>
      </c>
      <c r="AO18">
        <v>1</v>
      </c>
      <c r="AP18">
        <v>3</v>
      </c>
      <c r="AQ18">
        <v>5</v>
      </c>
      <c r="AR18">
        <v>1</v>
      </c>
      <c r="AS18">
        <v>1</v>
      </c>
      <c r="AT18">
        <v>3</v>
      </c>
      <c r="AU18">
        <v>5</v>
      </c>
      <c r="AV18">
        <v>1</v>
      </c>
      <c r="AW18">
        <v>1</v>
      </c>
      <c r="AX18">
        <v>5</v>
      </c>
      <c r="AY18">
        <v>5</v>
      </c>
      <c r="AZ18">
        <v>5</v>
      </c>
      <c r="BA18">
        <v>4</v>
      </c>
      <c r="BB18">
        <v>5</v>
      </c>
      <c r="BC18">
        <v>5</v>
      </c>
      <c r="BD18">
        <v>4</v>
      </c>
      <c r="BE18">
        <v>4</v>
      </c>
      <c r="BF18">
        <v>5</v>
      </c>
      <c r="BG18">
        <v>4</v>
      </c>
      <c r="BH18">
        <v>3</v>
      </c>
      <c r="BI18">
        <v>4</v>
      </c>
      <c r="BJ18">
        <v>5</v>
      </c>
      <c r="BK18">
        <v>5</v>
      </c>
      <c r="BL18">
        <v>4</v>
      </c>
      <c r="BM18">
        <v>5</v>
      </c>
      <c r="BN18">
        <v>5</v>
      </c>
      <c r="BO18">
        <v>4</v>
      </c>
      <c r="BP18">
        <v>4</v>
      </c>
      <c r="BQ18">
        <v>5</v>
      </c>
      <c r="BR18">
        <v>5</v>
      </c>
      <c r="BS18">
        <v>5</v>
      </c>
      <c r="BT18">
        <v>5</v>
      </c>
      <c r="BU18">
        <v>5</v>
      </c>
      <c r="BV18">
        <v>4</v>
      </c>
      <c r="BW18">
        <v>3</v>
      </c>
      <c r="BX18">
        <v>1</v>
      </c>
      <c r="BY18">
        <v>1</v>
      </c>
      <c r="BZ18">
        <v>1</v>
      </c>
      <c r="CA18">
        <v>1</v>
      </c>
      <c r="CB18">
        <v>1</v>
      </c>
      <c r="CC18">
        <v>1</v>
      </c>
      <c r="CD18">
        <v>0</v>
      </c>
      <c r="CE18">
        <v>1</v>
      </c>
      <c r="CF18">
        <v>0</v>
      </c>
      <c r="CG18">
        <v>1</v>
      </c>
      <c r="CH18">
        <v>0</v>
      </c>
      <c r="CI18">
        <v>4</v>
      </c>
      <c r="CJ18">
        <v>2</v>
      </c>
      <c r="CK18">
        <v>3</v>
      </c>
      <c r="CL18">
        <v>4</v>
      </c>
      <c r="CM18">
        <v>1</v>
      </c>
      <c r="CN18">
        <v>3</v>
      </c>
      <c r="CO18">
        <v>1</v>
      </c>
      <c r="CP18">
        <v>4</v>
      </c>
      <c r="CQ18">
        <v>2</v>
      </c>
      <c r="CR18">
        <v>2</v>
      </c>
    </row>
    <row r="19" spans="1:96">
      <c r="A19">
        <v>18</v>
      </c>
      <c r="B19" s="20">
        <v>162</v>
      </c>
      <c r="C19">
        <v>4</v>
      </c>
      <c r="D19">
        <v>3</v>
      </c>
      <c r="E19">
        <v>2</v>
      </c>
      <c r="F19">
        <v>3</v>
      </c>
      <c r="G19">
        <v>3</v>
      </c>
      <c r="H19">
        <v>3</v>
      </c>
      <c r="I19">
        <v>1</v>
      </c>
      <c r="J19">
        <v>3</v>
      </c>
      <c r="K19">
        <v>2</v>
      </c>
      <c r="L19">
        <v>2</v>
      </c>
      <c r="M19">
        <v>1</v>
      </c>
      <c r="N19">
        <v>3</v>
      </c>
      <c r="O19">
        <v>3</v>
      </c>
      <c r="P19">
        <v>4</v>
      </c>
      <c r="Q19">
        <v>3</v>
      </c>
      <c r="R19">
        <v>3</v>
      </c>
      <c r="S19">
        <v>2</v>
      </c>
      <c r="T19">
        <v>3</v>
      </c>
      <c r="U19">
        <v>2</v>
      </c>
      <c r="V19">
        <v>3</v>
      </c>
      <c r="W19">
        <v>2</v>
      </c>
      <c r="X19">
        <v>4</v>
      </c>
      <c r="Y19">
        <v>2</v>
      </c>
      <c r="Z19">
        <v>3</v>
      </c>
      <c r="AA19">
        <v>3</v>
      </c>
      <c r="AB19">
        <v>2</v>
      </c>
      <c r="AC19">
        <v>2</v>
      </c>
      <c r="AD19">
        <v>3</v>
      </c>
      <c r="AE19">
        <v>3</v>
      </c>
      <c r="AF19">
        <v>2</v>
      </c>
      <c r="AG19">
        <v>2</v>
      </c>
      <c r="AH19">
        <v>3</v>
      </c>
      <c r="AI19">
        <v>2</v>
      </c>
      <c r="AJ19">
        <v>3</v>
      </c>
      <c r="AK19">
        <v>1</v>
      </c>
      <c r="AL19">
        <v>3</v>
      </c>
      <c r="AM19">
        <v>4</v>
      </c>
      <c r="AN19">
        <v>3</v>
      </c>
      <c r="AO19">
        <v>1</v>
      </c>
      <c r="AP19">
        <v>3</v>
      </c>
      <c r="AQ19">
        <v>3</v>
      </c>
      <c r="AR19">
        <v>3</v>
      </c>
      <c r="AS19">
        <v>1</v>
      </c>
      <c r="AT19">
        <v>3</v>
      </c>
      <c r="AU19">
        <v>2</v>
      </c>
      <c r="AV19">
        <v>2</v>
      </c>
      <c r="AW19">
        <v>1</v>
      </c>
      <c r="AX19">
        <v>3</v>
      </c>
      <c r="AY19">
        <v>4</v>
      </c>
      <c r="AZ19">
        <v>4</v>
      </c>
      <c r="BA19">
        <v>4</v>
      </c>
      <c r="BB19">
        <v>4</v>
      </c>
      <c r="BC19">
        <v>4</v>
      </c>
      <c r="BD19">
        <v>4</v>
      </c>
      <c r="BE19">
        <v>4</v>
      </c>
      <c r="BF19">
        <v>4</v>
      </c>
      <c r="BG19">
        <v>5</v>
      </c>
      <c r="BH19">
        <v>4</v>
      </c>
      <c r="BI19">
        <v>4</v>
      </c>
      <c r="BJ19">
        <v>4</v>
      </c>
      <c r="BK19">
        <v>4</v>
      </c>
      <c r="BL19">
        <v>4</v>
      </c>
      <c r="BM19">
        <v>4</v>
      </c>
      <c r="BN19">
        <v>4</v>
      </c>
      <c r="BO19">
        <v>4</v>
      </c>
      <c r="BP19">
        <v>4</v>
      </c>
      <c r="BQ19">
        <v>4</v>
      </c>
      <c r="BR19">
        <v>4</v>
      </c>
      <c r="BS19">
        <v>4</v>
      </c>
      <c r="BT19">
        <v>4</v>
      </c>
      <c r="BU19">
        <v>4</v>
      </c>
      <c r="BV19">
        <v>4</v>
      </c>
      <c r="BW19">
        <v>4</v>
      </c>
      <c r="BX19">
        <v>1</v>
      </c>
      <c r="BY19">
        <v>0</v>
      </c>
      <c r="BZ19">
        <v>0</v>
      </c>
      <c r="CA19">
        <v>1</v>
      </c>
      <c r="CB19">
        <v>0</v>
      </c>
      <c r="CC19">
        <v>1</v>
      </c>
      <c r="CD19">
        <v>0</v>
      </c>
      <c r="CE19">
        <v>1</v>
      </c>
      <c r="CF19">
        <v>0</v>
      </c>
      <c r="CG19">
        <v>1</v>
      </c>
      <c r="CH19">
        <v>1</v>
      </c>
      <c r="CI19">
        <v>4</v>
      </c>
      <c r="CJ19">
        <v>2</v>
      </c>
      <c r="CK19">
        <v>4</v>
      </c>
      <c r="CL19">
        <v>3</v>
      </c>
      <c r="CM19">
        <v>1</v>
      </c>
      <c r="CN19">
        <v>4</v>
      </c>
      <c r="CO19">
        <v>2</v>
      </c>
      <c r="CP19">
        <v>3</v>
      </c>
      <c r="CQ19">
        <v>1</v>
      </c>
      <c r="CR19">
        <v>2</v>
      </c>
    </row>
    <row r="20" spans="1:96">
      <c r="A20">
        <v>19</v>
      </c>
      <c r="B20" s="20">
        <v>184</v>
      </c>
      <c r="C20">
        <v>4</v>
      </c>
      <c r="D20">
        <v>5</v>
      </c>
      <c r="E20">
        <v>1</v>
      </c>
      <c r="F20">
        <v>2</v>
      </c>
      <c r="G20">
        <v>3</v>
      </c>
      <c r="H20">
        <v>4</v>
      </c>
      <c r="I20">
        <v>1</v>
      </c>
      <c r="J20">
        <v>2</v>
      </c>
      <c r="K20">
        <v>3</v>
      </c>
      <c r="L20">
        <v>3</v>
      </c>
      <c r="M20">
        <v>1</v>
      </c>
      <c r="N20">
        <v>3</v>
      </c>
      <c r="O20">
        <v>2</v>
      </c>
      <c r="P20">
        <v>5</v>
      </c>
      <c r="Q20">
        <v>1</v>
      </c>
      <c r="R20">
        <v>2</v>
      </c>
      <c r="S20">
        <v>3</v>
      </c>
      <c r="T20">
        <v>4</v>
      </c>
      <c r="U20">
        <v>1</v>
      </c>
      <c r="V20">
        <v>1</v>
      </c>
      <c r="W20">
        <v>2</v>
      </c>
      <c r="X20">
        <v>4</v>
      </c>
      <c r="Y20">
        <v>1</v>
      </c>
      <c r="Z20">
        <v>2</v>
      </c>
      <c r="AA20">
        <v>2</v>
      </c>
      <c r="AB20">
        <v>5</v>
      </c>
      <c r="AC20">
        <v>1</v>
      </c>
      <c r="AD20">
        <v>1</v>
      </c>
      <c r="AE20">
        <v>2</v>
      </c>
      <c r="AF20">
        <v>4</v>
      </c>
      <c r="AG20">
        <v>1</v>
      </c>
      <c r="AH20">
        <v>1</v>
      </c>
      <c r="AI20">
        <v>1</v>
      </c>
      <c r="AJ20">
        <v>3</v>
      </c>
      <c r="AK20">
        <v>1</v>
      </c>
      <c r="AL20">
        <v>2</v>
      </c>
      <c r="AM20">
        <v>5</v>
      </c>
      <c r="AN20">
        <v>5</v>
      </c>
      <c r="AO20">
        <v>1</v>
      </c>
      <c r="AP20">
        <v>3</v>
      </c>
      <c r="AQ20">
        <v>4</v>
      </c>
      <c r="AR20">
        <v>3</v>
      </c>
      <c r="AS20">
        <v>1</v>
      </c>
      <c r="AT20">
        <v>3</v>
      </c>
      <c r="AU20">
        <v>4</v>
      </c>
      <c r="AV20">
        <v>3</v>
      </c>
      <c r="AW20">
        <v>1</v>
      </c>
      <c r="AX20">
        <v>3</v>
      </c>
      <c r="AY20">
        <v>5</v>
      </c>
      <c r="AZ20">
        <v>5</v>
      </c>
      <c r="BA20">
        <v>5</v>
      </c>
      <c r="BB20">
        <v>5</v>
      </c>
      <c r="BC20">
        <v>5</v>
      </c>
      <c r="BD20">
        <v>4</v>
      </c>
      <c r="BE20">
        <v>4</v>
      </c>
      <c r="BF20">
        <v>5</v>
      </c>
      <c r="BG20">
        <v>5</v>
      </c>
      <c r="BH20">
        <v>2</v>
      </c>
      <c r="BI20">
        <v>5</v>
      </c>
      <c r="BJ20">
        <v>5</v>
      </c>
      <c r="BK20">
        <v>4</v>
      </c>
      <c r="BL20">
        <v>5</v>
      </c>
      <c r="BM20">
        <v>4</v>
      </c>
      <c r="BN20">
        <v>4</v>
      </c>
      <c r="BO20">
        <v>5</v>
      </c>
      <c r="BP20">
        <v>4</v>
      </c>
      <c r="BQ20">
        <v>5</v>
      </c>
      <c r="BR20">
        <v>5</v>
      </c>
      <c r="BS20">
        <v>5</v>
      </c>
      <c r="BT20">
        <v>5</v>
      </c>
      <c r="BU20">
        <v>4</v>
      </c>
      <c r="BV20">
        <v>5</v>
      </c>
      <c r="BW20">
        <v>5</v>
      </c>
      <c r="BX20">
        <v>1</v>
      </c>
      <c r="BY20">
        <v>0</v>
      </c>
      <c r="BZ20">
        <v>1</v>
      </c>
      <c r="CA20">
        <v>1</v>
      </c>
      <c r="CB20">
        <v>0</v>
      </c>
      <c r="CC20">
        <v>1</v>
      </c>
      <c r="CD20">
        <v>0</v>
      </c>
      <c r="CE20">
        <v>1</v>
      </c>
      <c r="CF20">
        <v>0</v>
      </c>
      <c r="CG20">
        <v>1</v>
      </c>
      <c r="CH20">
        <v>1</v>
      </c>
      <c r="CI20">
        <v>4</v>
      </c>
      <c r="CJ20">
        <v>3</v>
      </c>
      <c r="CK20">
        <v>2</v>
      </c>
      <c r="CL20">
        <v>4</v>
      </c>
      <c r="CM20">
        <v>1</v>
      </c>
      <c r="CN20">
        <v>3</v>
      </c>
      <c r="CO20">
        <v>1</v>
      </c>
      <c r="CP20">
        <v>2</v>
      </c>
      <c r="CQ20">
        <v>4</v>
      </c>
      <c r="CR20">
        <v>1</v>
      </c>
    </row>
    <row r="21" spans="1:96">
      <c r="A21">
        <v>20</v>
      </c>
      <c r="B21" s="20">
        <v>165</v>
      </c>
      <c r="C21">
        <v>2</v>
      </c>
      <c r="D21">
        <v>2</v>
      </c>
      <c r="E21">
        <v>3</v>
      </c>
      <c r="F21">
        <v>4</v>
      </c>
      <c r="G21">
        <v>3</v>
      </c>
      <c r="H21">
        <v>2</v>
      </c>
      <c r="I21">
        <v>1</v>
      </c>
      <c r="J21">
        <v>3</v>
      </c>
      <c r="K21">
        <v>1</v>
      </c>
      <c r="L21">
        <v>2</v>
      </c>
      <c r="M21">
        <v>3</v>
      </c>
      <c r="N21">
        <v>3</v>
      </c>
      <c r="O21">
        <v>1</v>
      </c>
      <c r="P21">
        <v>4</v>
      </c>
      <c r="Q21">
        <v>2</v>
      </c>
      <c r="R21">
        <v>1</v>
      </c>
      <c r="S21">
        <v>3</v>
      </c>
      <c r="T21">
        <v>3</v>
      </c>
      <c r="U21">
        <v>1</v>
      </c>
      <c r="V21">
        <v>2</v>
      </c>
      <c r="W21">
        <v>1</v>
      </c>
      <c r="X21">
        <v>4</v>
      </c>
      <c r="Y21">
        <v>3</v>
      </c>
      <c r="Z21">
        <v>3</v>
      </c>
      <c r="AA21">
        <v>3</v>
      </c>
      <c r="AB21">
        <v>1</v>
      </c>
      <c r="AC21">
        <v>1</v>
      </c>
      <c r="AD21">
        <v>4</v>
      </c>
      <c r="AE21">
        <v>2</v>
      </c>
      <c r="AF21">
        <v>1</v>
      </c>
      <c r="AG21">
        <v>1</v>
      </c>
      <c r="AH21">
        <v>3</v>
      </c>
      <c r="AI21">
        <v>3</v>
      </c>
      <c r="AJ21">
        <v>1</v>
      </c>
      <c r="AK21">
        <v>1</v>
      </c>
      <c r="AL21">
        <v>3</v>
      </c>
      <c r="AM21">
        <v>4</v>
      </c>
      <c r="AN21">
        <v>2</v>
      </c>
      <c r="AO21">
        <v>1</v>
      </c>
      <c r="AP21">
        <v>3</v>
      </c>
      <c r="AQ21">
        <v>5</v>
      </c>
      <c r="AR21">
        <v>2</v>
      </c>
      <c r="AS21">
        <v>1</v>
      </c>
      <c r="AT21">
        <v>3</v>
      </c>
      <c r="AU21">
        <v>3</v>
      </c>
      <c r="AV21">
        <v>1</v>
      </c>
      <c r="AW21">
        <v>1</v>
      </c>
      <c r="AX21">
        <v>5</v>
      </c>
      <c r="AY21">
        <v>5</v>
      </c>
      <c r="AZ21">
        <v>5</v>
      </c>
      <c r="BA21">
        <v>5</v>
      </c>
      <c r="BB21">
        <v>4</v>
      </c>
      <c r="BC21">
        <v>5</v>
      </c>
      <c r="BD21">
        <v>5</v>
      </c>
      <c r="BE21">
        <v>3</v>
      </c>
      <c r="BF21">
        <v>4</v>
      </c>
      <c r="BG21">
        <v>4</v>
      </c>
      <c r="BH21">
        <v>4</v>
      </c>
      <c r="BI21">
        <v>4</v>
      </c>
      <c r="BJ21">
        <v>3</v>
      </c>
      <c r="BK21">
        <v>4</v>
      </c>
      <c r="BL21">
        <v>4</v>
      </c>
      <c r="BM21">
        <v>4</v>
      </c>
      <c r="BN21">
        <v>4</v>
      </c>
      <c r="BO21">
        <v>4</v>
      </c>
      <c r="BP21">
        <v>4</v>
      </c>
      <c r="BQ21">
        <v>4</v>
      </c>
      <c r="BR21">
        <v>4</v>
      </c>
      <c r="BS21">
        <v>4</v>
      </c>
      <c r="BT21">
        <v>4</v>
      </c>
      <c r="BU21">
        <v>4</v>
      </c>
      <c r="BV21">
        <v>4</v>
      </c>
      <c r="BW21">
        <v>4</v>
      </c>
      <c r="BX21">
        <v>1</v>
      </c>
      <c r="BY21">
        <v>1</v>
      </c>
      <c r="BZ21">
        <v>1</v>
      </c>
      <c r="CA21">
        <v>0</v>
      </c>
      <c r="CB21">
        <v>1</v>
      </c>
      <c r="CC21">
        <v>0</v>
      </c>
      <c r="CD21">
        <v>0</v>
      </c>
      <c r="CE21">
        <v>1</v>
      </c>
      <c r="CF21">
        <v>1</v>
      </c>
      <c r="CG21">
        <v>1</v>
      </c>
      <c r="CH21">
        <v>0</v>
      </c>
      <c r="CI21">
        <v>4</v>
      </c>
      <c r="CJ21">
        <v>1</v>
      </c>
      <c r="CK21">
        <v>4</v>
      </c>
      <c r="CL21">
        <v>3</v>
      </c>
      <c r="CM21">
        <v>2</v>
      </c>
      <c r="CN21">
        <v>2</v>
      </c>
      <c r="CO21">
        <v>4</v>
      </c>
      <c r="CP21">
        <v>3</v>
      </c>
      <c r="CQ21">
        <v>1</v>
      </c>
      <c r="CR21">
        <v>1</v>
      </c>
    </row>
    <row r="22" spans="1:96">
      <c r="A22">
        <v>21</v>
      </c>
      <c r="B22" s="20">
        <v>181</v>
      </c>
      <c r="C22">
        <v>2</v>
      </c>
      <c r="D22">
        <v>2</v>
      </c>
      <c r="E22">
        <v>1</v>
      </c>
      <c r="F22">
        <v>3</v>
      </c>
      <c r="G22">
        <v>1</v>
      </c>
      <c r="H22">
        <v>2</v>
      </c>
      <c r="I22">
        <v>1</v>
      </c>
      <c r="J22">
        <v>1</v>
      </c>
      <c r="K22">
        <v>1</v>
      </c>
      <c r="L22">
        <v>2</v>
      </c>
      <c r="M22">
        <v>3</v>
      </c>
      <c r="N22">
        <v>1</v>
      </c>
      <c r="O22">
        <v>1</v>
      </c>
      <c r="P22">
        <v>2</v>
      </c>
      <c r="Q22">
        <v>2</v>
      </c>
      <c r="R22">
        <v>1</v>
      </c>
      <c r="S22">
        <v>1</v>
      </c>
      <c r="T22">
        <v>2</v>
      </c>
      <c r="U22">
        <v>1</v>
      </c>
      <c r="V22">
        <v>1</v>
      </c>
      <c r="W22">
        <v>1</v>
      </c>
      <c r="X22">
        <v>3</v>
      </c>
      <c r="Y22">
        <v>3</v>
      </c>
      <c r="Z22">
        <v>2</v>
      </c>
      <c r="AA22">
        <v>1</v>
      </c>
      <c r="AB22">
        <v>2</v>
      </c>
      <c r="AC22">
        <v>1</v>
      </c>
      <c r="AD22">
        <v>1</v>
      </c>
      <c r="AE22">
        <v>1</v>
      </c>
      <c r="AF22">
        <v>3</v>
      </c>
      <c r="AG22">
        <v>1</v>
      </c>
      <c r="AH22">
        <v>1</v>
      </c>
      <c r="AI22">
        <v>1</v>
      </c>
      <c r="AJ22">
        <v>2</v>
      </c>
      <c r="AK22">
        <v>1</v>
      </c>
      <c r="AL22">
        <v>1</v>
      </c>
      <c r="AM22">
        <v>2</v>
      </c>
      <c r="AN22">
        <v>2</v>
      </c>
      <c r="AO22">
        <v>1</v>
      </c>
      <c r="AP22">
        <v>1</v>
      </c>
      <c r="AQ22">
        <v>2</v>
      </c>
      <c r="AR22">
        <v>2</v>
      </c>
      <c r="AS22">
        <v>1</v>
      </c>
      <c r="AT22">
        <v>1</v>
      </c>
      <c r="AU22">
        <v>1</v>
      </c>
      <c r="AV22">
        <v>2</v>
      </c>
      <c r="AW22">
        <v>1</v>
      </c>
      <c r="AX22">
        <v>2</v>
      </c>
      <c r="AY22">
        <v>4</v>
      </c>
      <c r="AZ22">
        <v>3</v>
      </c>
      <c r="BA22">
        <v>2</v>
      </c>
      <c r="BB22">
        <v>4</v>
      </c>
      <c r="BC22">
        <v>4</v>
      </c>
      <c r="BD22">
        <v>2</v>
      </c>
      <c r="BE22">
        <v>2</v>
      </c>
      <c r="BF22">
        <v>4</v>
      </c>
      <c r="BG22">
        <v>3</v>
      </c>
      <c r="BH22">
        <v>4</v>
      </c>
      <c r="BI22">
        <v>3</v>
      </c>
      <c r="BJ22">
        <v>3</v>
      </c>
      <c r="BK22">
        <v>3</v>
      </c>
      <c r="BL22">
        <v>4</v>
      </c>
      <c r="BM22">
        <v>2</v>
      </c>
      <c r="BN22">
        <v>3</v>
      </c>
      <c r="BO22">
        <v>4</v>
      </c>
      <c r="BP22">
        <v>4</v>
      </c>
      <c r="BQ22">
        <v>4</v>
      </c>
      <c r="BR22">
        <v>4</v>
      </c>
      <c r="BS22">
        <v>3</v>
      </c>
      <c r="BT22">
        <v>2</v>
      </c>
      <c r="BU22">
        <v>2</v>
      </c>
      <c r="BV22">
        <v>4</v>
      </c>
      <c r="BW22">
        <v>4</v>
      </c>
      <c r="BX22">
        <v>0</v>
      </c>
      <c r="BY22">
        <v>0</v>
      </c>
      <c r="BZ22">
        <v>1</v>
      </c>
      <c r="CA22">
        <v>0</v>
      </c>
      <c r="CB22">
        <v>1</v>
      </c>
      <c r="CC22">
        <v>1</v>
      </c>
      <c r="CD22">
        <v>0</v>
      </c>
      <c r="CE22">
        <v>1</v>
      </c>
      <c r="CF22">
        <v>1</v>
      </c>
      <c r="CG22">
        <v>1</v>
      </c>
      <c r="CH22">
        <v>0</v>
      </c>
      <c r="CI22">
        <v>2</v>
      </c>
      <c r="CJ22">
        <v>3</v>
      </c>
      <c r="CK22">
        <v>2</v>
      </c>
      <c r="CL22">
        <v>4</v>
      </c>
      <c r="CM22">
        <v>1</v>
      </c>
      <c r="CN22">
        <v>3</v>
      </c>
      <c r="CO22">
        <v>2</v>
      </c>
      <c r="CP22">
        <v>4</v>
      </c>
      <c r="CQ22">
        <v>1</v>
      </c>
      <c r="CR22">
        <v>3</v>
      </c>
    </row>
    <row r="23" spans="1:96">
      <c r="A23">
        <v>22</v>
      </c>
      <c r="B23" s="20">
        <v>164</v>
      </c>
      <c r="C23">
        <v>4</v>
      </c>
      <c r="D23">
        <v>2</v>
      </c>
      <c r="E23">
        <v>1</v>
      </c>
      <c r="F23">
        <v>3</v>
      </c>
      <c r="G23">
        <v>3</v>
      </c>
      <c r="H23">
        <v>1</v>
      </c>
      <c r="I23">
        <v>1</v>
      </c>
      <c r="J23">
        <v>5</v>
      </c>
      <c r="K23">
        <v>3</v>
      </c>
      <c r="L23">
        <v>1</v>
      </c>
      <c r="M23">
        <v>1</v>
      </c>
      <c r="N23">
        <v>3</v>
      </c>
      <c r="O23">
        <v>3</v>
      </c>
      <c r="P23">
        <v>1</v>
      </c>
      <c r="Q23">
        <v>2</v>
      </c>
      <c r="R23">
        <v>5</v>
      </c>
      <c r="S23">
        <v>3</v>
      </c>
      <c r="T23">
        <v>2</v>
      </c>
      <c r="U23">
        <v>1</v>
      </c>
      <c r="V23">
        <v>5</v>
      </c>
      <c r="W23">
        <v>3</v>
      </c>
      <c r="X23">
        <v>1</v>
      </c>
      <c r="Y23">
        <v>1</v>
      </c>
      <c r="Z23">
        <v>3</v>
      </c>
      <c r="AA23">
        <v>4</v>
      </c>
      <c r="AB23">
        <v>2</v>
      </c>
      <c r="AC23">
        <v>1</v>
      </c>
      <c r="AD23">
        <v>4</v>
      </c>
      <c r="AE23">
        <v>4</v>
      </c>
      <c r="AF23">
        <v>1</v>
      </c>
      <c r="AG23">
        <v>1</v>
      </c>
      <c r="AH23">
        <v>4</v>
      </c>
      <c r="AI23">
        <v>3</v>
      </c>
      <c r="AJ23">
        <v>1</v>
      </c>
      <c r="AK23">
        <v>1</v>
      </c>
      <c r="AL23">
        <v>3</v>
      </c>
      <c r="AM23">
        <v>4</v>
      </c>
      <c r="AN23">
        <v>1</v>
      </c>
      <c r="AO23">
        <v>1</v>
      </c>
      <c r="AP23">
        <v>3</v>
      </c>
      <c r="AQ23">
        <v>4</v>
      </c>
      <c r="AR23">
        <v>1</v>
      </c>
      <c r="AS23">
        <v>1</v>
      </c>
      <c r="AT23">
        <v>3</v>
      </c>
      <c r="AU23">
        <v>3</v>
      </c>
      <c r="AV23">
        <v>1</v>
      </c>
      <c r="AW23">
        <v>1</v>
      </c>
      <c r="AX23">
        <v>3</v>
      </c>
      <c r="AY23">
        <v>4</v>
      </c>
      <c r="AZ23">
        <v>5</v>
      </c>
      <c r="BA23">
        <v>3</v>
      </c>
      <c r="BB23">
        <v>2</v>
      </c>
      <c r="BC23">
        <v>4</v>
      </c>
      <c r="BD23">
        <v>4</v>
      </c>
      <c r="BE23">
        <v>3</v>
      </c>
      <c r="BF23">
        <v>4</v>
      </c>
      <c r="BG23">
        <v>3</v>
      </c>
      <c r="BH23">
        <v>4</v>
      </c>
      <c r="BI23">
        <v>4</v>
      </c>
      <c r="BJ23">
        <v>4</v>
      </c>
      <c r="BK23">
        <v>4</v>
      </c>
      <c r="BL23">
        <v>4</v>
      </c>
      <c r="BM23">
        <v>4</v>
      </c>
      <c r="BN23">
        <v>3</v>
      </c>
      <c r="BO23">
        <v>4</v>
      </c>
      <c r="BP23">
        <v>4</v>
      </c>
      <c r="BQ23">
        <v>4</v>
      </c>
      <c r="BR23">
        <v>4</v>
      </c>
      <c r="BS23">
        <v>4</v>
      </c>
      <c r="BT23">
        <v>4</v>
      </c>
      <c r="BU23">
        <v>3</v>
      </c>
      <c r="BV23">
        <v>4</v>
      </c>
      <c r="BW23">
        <v>4</v>
      </c>
      <c r="BX23">
        <v>1</v>
      </c>
      <c r="BY23">
        <v>1</v>
      </c>
      <c r="BZ23">
        <v>1</v>
      </c>
      <c r="CA23">
        <v>1</v>
      </c>
      <c r="CB23">
        <v>0</v>
      </c>
      <c r="CC23">
        <v>1</v>
      </c>
      <c r="CD23">
        <v>0</v>
      </c>
      <c r="CE23">
        <v>1</v>
      </c>
      <c r="CF23">
        <v>1</v>
      </c>
      <c r="CG23">
        <v>1</v>
      </c>
      <c r="CH23">
        <v>1</v>
      </c>
      <c r="CI23">
        <v>4</v>
      </c>
      <c r="CJ23">
        <v>4</v>
      </c>
      <c r="CK23">
        <v>3</v>
      </c>
      <c r="CL23">
        <v>2</v>
      </c>
      <c r="CM23">
        <v>1</v>
      </c>
      <c r="CN23">
        <v>4</v>
      </c>
      <c r="CO23">
        <v>3</v>
      </c>
      <c r="CP23">
        <v>1</v>
      </c>
      <c r="CQ23">
        <v>2</v>
      </c>
      <c r="CR23">
        <v>3</v>
      </c>
    </row>
    <row r="24" spans="1:96">
      <c r="A24">
        <v>23</v>
      </c>
      <c r="B24" s="20">
        <v>159</v>
      </c>
      <c r="C24">
        <v>4</v>
      </c>
      <c r="D24">
        <v>2</v>
      </c>
      <c r="E24">
        <v>1</v>
      </c>
      <c r="F24">
        <v>2</v>
      </c>
      <c r="G24">
        <v>3</v>
      </c>
      <c r="H24">
        <v>1</v>
      </c>
      <c r="I24">
        <v>1</v>
      </c>
      <c r="J24">
        <v>3</v>
      </c>
      <c r="K24">
        <v>2</v>
      </c>
      <c r="L24">
        <v>1</v>
      </c>
      <c r="M24">
        <v>1</v>
      </c>
      <c r="N24">
        <v>4</v>
      </c>
      <c r="O24">
        <v>3</v>
      </c>
      <c r="P24">
        <v>4</v>
      </c>
      <c r="Q24">
        <v>1</v>
      </c>
      <c r="R24">
        <v>2</v>
      </c>
      <c r="S24">
        <v>2</v>
      </c>
      <c r="T24">
        <v>3</v>
      </c>
      <c r="U24">
        <v>1</v>
      </c>
      <c r="V24">
        <v>2</v>
      </c>
      <c r="W24">
        <v>2</v>
      </c>
      <c r="X24">
        <v>3</v>
      </c>
      <c r="Y24">
        <v>1</v>
      </c>
      <c r="Z24">
        <v>2</v>
      </c>
      <c r="AA24">
        <v>2</v>
      </c>
      <c r="AB24">
        <v>1</v>
      </c>
      <c r="AC24">
        <v>1</v>
      </c>
      <c r="AD24">
        <v>3</v>
      </c>
      <c r="AE24">
        <v>2</v>
      </c>
      <c r="AF24">
        <v>1</v>
      </c>
      <c r="AG24">
        <v>1</v>
      </c>
      <c r="AH24">
        <v>3</v>
      </c>
      <c r="AI24">
        <v>2</v>
      </c>
      <c r="AJ24">
        <v>1</v>
      </c>
      <c r="AK24">
        <v>1</v>
      </c>
      <c r="AL24">
        <v>4</v>
      </c>
      <c r="AM24">
        <v>4</v>
      </c>
      <c r="AN24">
        <v>2</v>
      </c>
      <c r="AO24">
        <v>1</v>
      </c>
      <c r="AP24">
        <v>3</v>
      </c>
      <c r="AQ24">
        <v>4</v>
      </c>
      <c r="AR24">
        <v>1</v>
      </c>
      <c r="AS24">
        <v>1</v>
      </c>
      <c r="AT24">
        <v>3</v>
      </c>
      <c r="AU24">
        <v>2</v>
      </c>
      <c r="AV24">
        <v>1</v>
      </c>
      <c r="AW24">
        <v>1</v>
      </c>
      <c r="AX24">
        <v>3</v>
      </c>
      <c r="AY24">
        <v>5</v>
      </c>
      <c r="AZ24">
        <v>4</v>
      </c>
      <c r="BA24">
        <v>3</v>
      </c>
      <c r="BB24">
        <v>5</v>
      </c>
      <c r="BC24">
        <v>5</v>
      </c>
      <c r="BD24">
        <v>5</v>
      </c>
      <c r="BE24">
        <v>4</v>
      </c>
      <c r="BF24">
        <v>5</v>
      </c>
      <c r="BG24">
        <v>4</v>
      </c>
      <c r="BH24">
        <v>4</v>
      </c>
      <c r="BI24">
        <v>4</v>
      </c>
      <c r="BJ24">
        <v>5</v>
      </c>
      <c r="BK24">
        <v>4</v>
      </c>
      <c r="BL24">
        <v>4</v>
      </c>
      <c r="BM24">
        <v>5</v>
      </c>
      <c r="BN24">
        <v>4</v>
      </c>
      <c r="BO24">
        <v>5</v>
      </c>
      <c r="BP24">
        <v>5</v>
      </c>
      <c r="BQ24">
        <v>5</v>
      </c>
      <c r="BR24">
        <v>5</v>
      </c>
      <c r="BS24">
        <v>4</v>
      </c>
      <c r="BT24">
        <v>5</v>
      </c>
      <c r="BU24">
        <v>5</v>
      </c>
      <c r="BV24">
        <v>5</v>
      </c>
      <c r="BW24">
        <v>5</v>
      </c>
      <c r="BX24">
        <v>1</v>
      </c>
      <c r="BY24">
        <v>1</v>
      </c>
      <c r="BZ24">
        <v>1</v>
      </c>
      <c r="CA24">
        <v>1</v>
      </c>
      <c r="CB24">
        <v>1</v>
      </c>
      <c r="CC24">
        <v>1</v>
      </c>
      <c r="CD24">
        <v>1</v>
      </c>
      <c r="CE24">
        <v>1</v>
      </c>
      <c r="CF24">
        <v>0</v>
      </c>
      <c r="CG24">
        <v>1</v>
      </c>
      <c r="CH24">
        <v>0</v>
      </c>
      <c r="CI24">
        <v>5</v>
      </c>
      <c r="CJ24">
        <v>3</v>
      </c>
      <c r="CK24">
        <v>2</v>
      </c>
      <c r="CL24">
        <v>4</v>
      </c>
      <c r="CM24">
        <v>1</v>
      </c>
      <c r="CN24">
        <v>3</v>
      </c>
      <c r="CO24">
        <v>2</v>
      </c>
      <c r="CP24">
        <v>4</v>
      </c>
      <c r="CQ24">
        <v>1</v>
      </c>
      <c r="CR24">
        <v>1</v>
      </c>
    </row>
    <row r="25" spans="1:96">
      <c r="A25">
        <v>24</v>
      </c>
      <c r="B25" s="20">
        <v>150</v>
      </c>
      <c r="C25">
        <v>4</v>
      </c>
      <c r="D25">
        <v>3</v>
      </c>
      <c r="E25">
        <v>1</v>
      </c>
      <c r="F25">
        <v>4</v>
      </c>
      <c r="G25">
        <v>4</v>
      </c>
      <c r="H25">
        <v>2</v>
      </c>
      <c r="I25">
        <v>1</v>
      </c>
      <c r="J25">
        <v>5</v>
      </c>
      <c r="K25">
        <v>3</v>
      </c>
      <c r="L25">
        <v>1</v>
      </c>
      <c r="M25">
        <v>1</v>
      </c>
      <c r="N25">
        <v>5</v>
      </c>
      <c r="O25">
        <v>2</v>
      </c>
      <c r="P25">
        <v>3</v>
      </c>
      <c r="Q25">
        <v>2</v>
      </c>
      <c r="R25">
        <v>3</v>
      </c>
      <c r="S25">
        <v>3</v>
      </c>
      <c r="T25">
        <v>3</v>
      </c>
      <c r="U25">
        <v>1</v>
      </c>
      <c r="V25">
        <v>4</v>
      </c>
      <c r="W25">
        <v>3</v>
      </c>
      <c r="X25">
        <v>1</v>
      </c>
      <c r="Y25">
        <v>2</v>
      </c>
      <c r="Z25">
        <v>4</v>
      </c>
      <c r="AA25">
        <v>3</v>
      </c>
      <c r="AB25">
        <v>3</v>
      </c>
      <c r="AC25">
        <v>3</v>
      </c>
      <c r="AD25">
        <v>2</v>
      </c>
      <c r="AE25">
        <v>2</v>
      </c>
      <c r="AF25">
        <v>2</v>
      </c>
      <c r="AG25">
        <v>3</v>
      </c>
      <c r="AH25">
        <v>3</v>
      </c>
      <c r="AI25">
        <v>3</v>
      </c>
      <c r="AJ25">
        <v>3</v>
      </c>
      <c r="AK25">
        <v>2</v>
      </c>
      <c r="AL25">
        <v>3</v>
      </c>
      <c r="AM25">
        <v>5</v>
      </c>
      <c r="AN25">
        <v>1</v>
      </c>
      <c r="AO25">
        <v>1</v>
      </c>
      <c r="AP25">
        <v>4</v>
      </c>
      <c r="AQ25">
        <v>4</v>
      </c>
      <c r="AR25">
        <v>2</v>
      </c>
      <c r="AS25">
        <v>1</v>
      </c>
      <c r="AT25">
        <v>5</v>
      </c>
      <c r="AU25">
        <v>2</v>
      </c>
      <c r="AV25">
        <v>1</v>
      </c>
      <c r="AW25">
        <v>1</v>
      </c>
      <c r="AX25">
        <v>5</v>
      </c>
      <c r="AY25">
        <v>5</v>
      </c>
      <c r="AZ25">
        <v>5</v>
      </c>
      <c r="BA25">
        <v>4</v>
      </c>
      <c r="BB25">
        <v>5</v>
      </c>
      <c r="BC25">
        <v>5</v>
      </c>
      <c r="BD25">
        <v>5</v>
      </c>
      <c r="BE25">
        <v>4</v>
      </c>
      <c r="BF25">
        <v>4</v>
      </c>
      <c r="BG25">
        <v>4</v>
      </c>
      <c r="BH25">
        <v>4</v>
      </c>
      <c r="BI25">
        <v>4</v>
      </c>
      <c r="BJ25">
        <v>4</v>
      </c>
      <c r="BK25">
        <v>4</v>
      </c>
      <c r="BL25">
        <v>5</v>
      </c>
      <c r="BM25">
        <v>4</v>
      </c>
      <c r="BN25">
        <v>4</v>
      </c>
      <c r="BO25">
        <v>5</v>
      </c>
      <c r="BP25">
        <v>4</v>
      </c>
      <c r="BQ25">
        <v>5</v>
      </c>
      <c r="BR25">
        <v>5</v>
      </c>
      <c r="BS25">
        <v>5</v>
      </c>
      <c r="BT25">
        <v>5</v>
      </c>
      <c r="BU25">
        <v>5</v>
      </c>
      <c r="BV25">
        <v>4</v>
      </c>
      <c r="BW25">
        <v>4</v>
      </c>
      <c r="BX25">
        <v>1</v>
      </c>
      <c r="BY25">
        <v>1</v>
      </c>
      <c r="BZ25">
        <v>1</v>
      </c>
      <c r="CA25">
        <v>1</v>
      </c>
      <c r="CB25">
        <v>1</v>
      </c>
      <c r="CC25">
        <v>1</v>
      </c>
      <c r="CD25">
        <v>0</v>
      </c>
      <c r="CE25">
        <v>1</v>
      </c>
      <c r="CF25">
        <v>0</v>
      </c>
      <c r="CG25">
        <v>1</v>
      </c>
      <c r="CH25">
        <v>0</v>
      </c>
      <c r="CI25">
        <v>4</v>
      </c>
      <c r="CJ25">
        <v>1</v>
      </c>
      <c r="CK25">
        <v>4</v>
      </c>
      <c r="CL25">
        <v>3</v>
      </c>
      <c r="CM25">
        <v>2</v>
      </c>
      <c r="CN25">
        <v>2</v>
      </c>
      <c r="CO25">
        <v>3</v>
      </c>
      <c r="CP25">
        <v>4</v>
      </c>
      <c r="CQ25">
        <v>1</v>
      </c>
      <c r="CR25">
        <v>2</v>
      </c>
    </row>
    <row r="26" spans="1:96">
      <c r="A26">
        <v>25</v>
      </c>
      <c r="B26" s="20">
        <v>176</v>
      </c>
      <c r="C26">
        <v>5</v>
      </c>
      <c r="D26">
        <v>1</v>
      </c>
      <c r="E26">
        <v>1</v>
      </c>
      <c r="F26">
        <v>5</v>
      </c>
      <c r="G26">
        <v>5</v>
      </c>
      <c r="H26">
        <v>1</v>
      </c>
      <c r="I26">
        <v>1</v>
      </c>
      <c r="J26">
        <v>4</v>
      </c>
      <c r="K26">
        <v>3</v>
      </c>
      <c r="L26">
        <v>1</v>
      </c>
      <c r="M26">
        <v>1</v>
      </c>
      <c r="N26">
        <v>4</v>
      </c>
      <c r="O26">
        <v>5</v>
      </c>
      <c r="P26">
        <v>1</v>
      </c>
      <c r="Q26">
        <v>1</v>
      </c>
      <c r="R26">
        <v>3</v>
      </c>
      <c r="S26">
        <v>3</v>
      </c>
      <c r="T26">
        <v>1</v>
      </c>
      <c r="U26">
        <v>1</v>
      </c>
      <c r="V26">
        <v>5</v>
      </c>
      <c r="W26">
        <v>3</v>
      </c>
      <c r="X26">
        <v>1</v>
      </c>
      <c r="Y26">
        <v>1</v>
      </c>
      <c r="Z26">
        <v>0</v>
      </c>
      <c r="AA26">
        <v>3</v>
      </c>
      <c r="AB26">
        <v>1</v>
      </c>
      <c r="AC26">
        <v>3</v>
      </c>
      <c r="AD26">
        <v>3</v>
      </c>
      <c r="AE26">
        <v>4</v>
      </c>
      <c r="AF26">
        <v>1</v>
      </c>
      <c r="AG26">
        <v>1</v>
      </c>
      <c r="AH26">
        <v>3</v>
      </c>
      <c r="AI26">
        <v>3</v>
      </c>
      <c r="AJ26">
        <v>1</v>
      </c>
      <c r="AK26">
        <v>2</v>
      </c>
      <c r="AL26">
        <v>3</v>
      </c>
      <c r="AM26">
        <v>5</v>
      </c>
      <c r="AN26">
        <v>1</v>
      </c>
      <c r="AO26">
        <v>1</v>
      </c>
      <c r="AP26">
        <v>3</v>
      </c>
      <c r="AQ26">
        <v>5</v>
      </c>
      <c r="AR26">
        <v>1</v>
      </c>
      <c r="AS26">
        <v>1</v>
      </c>
      <c r="AT26">
        <v>4</v>
      </c>
      <c r="AU26">
        <v>3</v>
      </c>
      <c r="AV26">
        <v>1</v>
      </c>
      <c r="AW26">
        <v>1</v>
      </c>
      <c r="AX26">
        <v>3</v>
      </c>
      <c r="AY26">
        <v>4</v>
      </c>
      <c r="AZ26">
        <v>4</v>
      </c>
      <c r="BA26">
        <v>4</v>
      </c>
      <c r="BB26">
        <v>4</v>
      </c>
      <c r="BC26">
        <v>4</v>
      </c>
      <c r="BD26">
        <v>4</v>
      </c>
      <c r="BE26">
        <v>4</v>
      </c>
      <c r="BF26">
        <v>3</v>
      </c>
      <c r="BG26">
        <v>4</v>
      </c>
      <c r="BH26">
        <v>4</v>
      </c>
      <c r="BI26">
        <v>4</v>
      </c>
      <c r="BJ26">
        <v>4</v>
      </c>
      <c r="BK26">
        <v>4</v>
      </c>
      <c r="BL26">
        <v>4</v>
      </c>
      <c r="BM26">
        <v>4</v>
      </c>
      <c r="BN26">
        <v>4</v>
      </c>
      <c r="BO26">
        <v>4</v>
      </c>
      <c r="BP26">
        <v>4</v>
      </c>
      <c r="BQ26">
        <v>5</v>
      </c>
      <c r="BR26">
        <v>4</v>
      </c>
      <c r="BS26">
        <v>3</v>
      </c>
      <c r="BT26">
        <v>4</v>
      </c>
      <c r="BU26">
        <v>4</v>
      </c>
      <c r="BV26">
        <v>4</v>
      </c>
      <c r="BW26">
        <v>4</v>
      </c>
      <c r="BX26">
        <v>1</v>
      </c>
      <c r="BY26">
        <v>0</v>
      </c>
      <c r="BZ26">
        <v>1</v>
      </c>
      <c r="CA26">
        <v>0</v>
      </c>
      <c r="CB26">
        <v>0</v>
      </c>
      <c r="CC26">
        <v>1</v>
      </c>
      <c r="CD26">
        <v>0</v>
      </c>
      <c r="CE26">
        <v>0</v>
      </c>
      <c r="CF26">
        <v>0</v>
      </c>
      <c r="CG26">
        <v>0</v>
      </c>
      <c r="CH26">
        <v>0</v>
      </c>
      <c r="CI26">
        <v>3</v>
      </c>
      <c r="CJ26">
        <v>2</v>
      </c>
      <c r="CK26">
        <v>1</v>
      </c>
      <c r="CL26">
        <v>4</v>
      </c>
      <c r="CM26">
        <v>3</v>
      </c>
      <c r="CN26" s="34">
        <v>0</v>
      </c>
      <c r="CO26" s="34">
        <v>0</v>
      </c>
      <c r="CP26" s="34">
        <v>0</v>
      </c>
      <c r="CQ26" s="34">
        <v>0</v>
      </c>
      <c r="CR26">
        <v>5</v>
      </c>
    </row>
    <row r="27" spans="1:96">
      <c r="A27">
        <v>26</v>
      </c>
      <c r="B27" s="20">
        <v>171</v>
      </c>
      <c r="C27">
        <v>4</v>
      </c>
      <c r="D27">
        <v>4</v>
      </c>
      <c r="E27">
        <v>1</v>
      </c>
      <c r="F27">
        <v>3</v>
      </c>
      <c r="G27">
        <v>4</v>
      </c>
      <c r="H27">
        <v>4</v>
      </c>
      <c r="I27">
        <v>1</v>
      </c>
      <c r="J27">
        <v>2</v>
      </c>
      <c r="K27">
        <v>3</v>
      </c>
      <c r="L27">
        <v>2</v>
      </c>
      <c r="M27">
        <v>1</v>
      </c>
      <c r="N27">
        <v>3</v>
      </c>
      <c r="O27">
        <v>4</v>
      </c>
      <c r="P27">
        <v>3</v>
      </c>
      <c r="Q27">
        <v>1</v>
      </c>
      <c r="R27">
        <v>3</v>
      </c>
      <c r="S27">
        <v>4</v>
      </c>
      <c r="T27">
        <v>3</v>
      </c>
      <c r="U27">
        <v>1</v>
      </c>
      <c r="V27">
        <v>2</v>
      </c>
      <c r="W27">
        <v>3</v>
      </c>
      <c r="X27">
        <v>2</v>
      </c>
      <c r="Y27">
        <v>1</v>
      </c>
      <c r="Z27">
        <v>2</v>
      </c>
      <c r="AA27">
        <v>3</v>
      </c>
      <c r="AB27">
        <v>4</v>
      </c>
      <c r="AC27">
        <v>1</v>
      </c>
      <c r="AD27">
        <v>2</v>
      </c>
      <c r="AE27">
        <v>4</v>
      </c>
      <c r="AF27">
        <v>3</v>
      </c>
      <c r="AG27">
        <v>1</v>
      </c>
      <c r="AH27">
        <v>2</v>
      </c>
      <c r="AI27">
        <v>3</v>
      </c>
      <c r="AJ27">
        <v>4</v>
      </c>
      <c r="AK27">
        <v>1</v>
      </c>
      <c r="AL27">
        <v>3</v>
      </c>
      <c r="AM27">
        <v>5</v>
      </c>
      <c r="AN27">
        <v>4</v>
      </c>
      <c r="AO27">
        <v>1</v>
      </c>
      <c r="AP27">
        <v>3</v>
      </c>
      <c r="AQ27">
        <v>5</v>
      </c>
      <c r="AR27">
        <v>4</v>
      </c>
      <c r="AS27">
        <v>1</v>
      </c>
      <c r="AT27">
        <v>2</v>
      </c>
      <c r="AU27">
        <v>4</v>
      </c>
      <c r="AV27">
        <v>3</v>
      </c>
      <c r="AW27">
        <v>1</v>
      </c>
      <c r="AX27">
        <v>3</v>
      </c>
      <c r="AY27">
        <v>5</v>
      </c>
      <c r="AZ27">
        <v>5</v>
      </c>
      <c r="BA27">
        <v>4</v>
      </c>
      <c r="BB27">
        <v>5</v>
      </c>
      <c r="BC27">
        <v>5</v>
      </c>
      <c r="BD27">
        <v>4</v>
      </c>
      <c r="BE27">
        <v>5</v>
      </c>
      <c r="BF27">
        <v>5</v>
      </c>
      <c r="BG27">
        <v>4</v>
      </c>
      <c r="BH27">
        <v>4</v>
      </c>
      <c r="BI27">
        <v>4</v>
      </c>
      <c r="BJ27">
        <v>5</v>
      </c>
      <c r="BK27">
        <v>5</v>
      </c>
      <c r="BL27">
        <v>4</v>
      </c>
      <c r="BM27">
        <v>4</v>
      </c>
      <c r="BN27">
        <v>5</v>
      </c>
      <c r="BO27">
        <v>5</v>
      </c>
      <c r="BP27">
        <v>3</v>
      </c>
      <c r="BQ27">
        <v>5</v>
      </c>
      <c r="BR27">
        <v>5</v>
      </c>
      <c r="BS27">
        <v>5</v>
      </c>
      <c r="BT27">
        <v>5</v>
      </c>
      <c r="BU27">
        <v>3</v>
      </c>
      <c r="BV27">
        <v>5</v>
      </c>
      <c r="BW27">
        <v>5</v>
      </c>
      <c r="BX27">
        <v>1</v>
      </c>
      <c r="BY27">
        <v>0</v>
      </c>
      <c r="BZ27">
        <v>1</v>
      </c>
      <c r="CA27">
        <v>0</v>
      </c>
      <c r="CB27">
        <v>0</v>
      </c>
      <c r="CC27">
        <v>1</v>
      </c>
      <c r="CD27">
        <v>0</v>
      </c>
      <c r="CE27">
        <v>1</v>
      </c>
      <c r="CF27">
        <v>1</v>
      </c>
      <c r="CG27">
        <v>1</v>
      </c>
      <c r="CH27">
        <v>1</v>
      </c>
      <c r="CI27">
        <v>5</v>
      </c>
      <c r="CJ27">
        <v>3</v>
      </c>
      <c r="CK27">
        <v>1</v>
      </c>
      <c r="CL27">
        <v>2</v>
      </c>
      <c r="CM27">
        <v>4</v>
      </c>
      <c r="CN27">
        <v>4</v>
      </c>
      <c r="CO27">
        <v>1</v>
      </c>
      <c r="CP27">
        <v>2</v>
      </c>
      <c r="CQ27">
        <v>3</v>
      </c>
      <c r="CR27">
        <v>3</v>
      </c>
    </row>
    <row r="28" spans="1:96">
      <c r="A28">
        <v>27</v>
      </c>
      <c r="B28" s="20">
        <v>156</v>
      </c>
      <c r="C28">
        <v>4</v>
      </c>
      <c r="D28">
        <v>4</v>
      </c>
      <c r="E28">
        <v>2</v>
      </c>
      <c r="F28">
        <v>2</v>
      </c>
      <c r="G28">
        <v>4</v>
      </c>
      <c r="H28">
        <v>3</v>
      </c>
      <c r="I28">
        <v>2</v>
      </c>
      <c r="J28">
        <v>2</v>
      </c>
      <c r="K28">
        <v>2</v>
      </c>
      <c r="L28">
        <v>2</v>
      </c>
      <c r="M28">
        <v>1</v>
      </c>
      <c r="N28">
        <v>3</v>
      </c>
      <c r="O28">
        <v>4</v>
      </c>
      <c r="P28">
        <v>3</v>
      </c>
      <c r="Q28">
        <v>2</v>
      </c>
      <c r="R28">
        <v>3</v>
      </c>
      <c r="S28">
        <v>3</v>
      </c>
      <c r="T28">
        <v>2</v>
      </c>
      <c r="U28">
        <v>2</v>
      </c>
      <c r="V28">
        <v>2</v>
      </c>
      <c r="W28">
        <v>2</v>
      </c>
      <c r="X28">
        <v>2</v>
      </c>
      <c r="Y28">
        <v>1</v>
      </c>
      <c r="Z28">
        <v>3</v>
      </c>
      <c r="AA28">
        <v>3</v>
      </c>
      <c r="AB28">
        <v>4</v>
      </c>
      <c r="AC28">
        <v>2</v>
      </c>
      <c r="AD28">
        <v>2</v>
      </c>
      <c r="AE28">
        <v>3</v>
      </c>
      <c r="AF28">
        <v>4</v>
      </c>
      <c r="AG28">
        <v>2</v>
      </c>
      <c r="AH28">
        <v>2</v>
      </c>
      <c r="AI28">
        <v>2</v>
      </c>
      <c r="AJ28">
        <v>3</v>
      </c>
      <c r="AK28">
        <v>2</v>
      </c>
      <c r="AL28">
        <v>2</v>
      </c>
      <c r="AM28">
        <v>3</v>
      </c>
      <c r="AN28">
        <v>1</v>
      </c>
      <c r="AO28">
        <v>2</v>
      </c>
      <c r="AP28">
        <v>2</v>
      </c>
      <c r="AQ28">
        <v>4</v>
      </c>
      <c r="AR28">
        <v>4</v>
      </c>
      <c r="AS28">
        <v>3</v>
      </c>
      <c r="AT28">
        <v>3</v>
      </c>
      <c r="AU28">
        <v>2</v>
      </c>
      <c r="AV28">
        <v>4</v>
      </c>
      <c r="AW28">
        <v>2</v>
      </c>
      <c r="AX28">
        <v>2</v>
      </c>
      <c r="AY28">
        <v>4</v>
      </c>
      <c r="AZ28">
        <v>4</v>
      </c>
      <c r="BA28">
        <v>4</v>
      </c>
      <c r="BB28">
        <v>4</v>
      </c>
      <c r="BC28">
        <v>4</v>
      </c>
      <c r="BD28">
        <v>4</v>
      </c>
      <c r="BE28">
        <v>4</v>
      </c>
      <c r="BF28">
        <v>4</v>
      </c>
      <c r="BG28">
        <v>4</v>
      </c>
      <c r="BH28">
        <v>4</v>
      </c>
      <c r="BI28">
        <v>4</v>
      </c>
      <c r="BJ28">
        <v>4</v>
      </c>
      <c r="BK28">
        <v>4</v>
      </c>
      <c r="BL28">
        <v>4</v>
      </c>
      <c r="BM28">
        <v>4</v>
      </c>
      <c r="BN28">
        <v>4</v>
      </c>
      <c r="BO28">
        <v>4</v>
      </c>
      <c r="BP28">
        <v>4</v>
      </c>
      <c r="BQ28">
        <v>5</v>
      </c>
      <c r="BR28">
        <v>4</v>
      </c>
      <c r="BS28">
        <v>4</v>
      </c>
      <c r="BT28">
        <v>4</v>
      </c>
      <c r="BU28">
        <v>4</v>
      </c>
      <c r="BV28">
        <v>4</v>
      </c>
      <c r="BW28">
        <v>4</v>
      </c>
      <c r="BX28">
        <v>1</v>
      </c>
      <c r="BY28">
        <v>0</v>
      </c>
      <c r="BZ28">
        <v>1</v>
      </c>
      <c r="CA28">
        <v>0</v>
      </c>
      <c r="CB28">
        <v>0</v>
      </c>
      <c r="CC28">
        <v>1</v>
      </c>
      <c r="CD28">
        <v>0</v>
      </c>
      <c r="CE28">
        <v>0</v>
      </c>
      <c r="CF28">
        <v>1</v>
      </c>
      <c r="CG28">
        <v>1</v>
      </c>
      <c r="CH28">
        <v>1</v>
      </c>
      <c r="CI28">
        <v>4</v>
      </c>
      <c r="CJ28">
        <v>3</v>
      </c>
      <c r="CK28">
        <v>2</v>
      </c>
      <c r="CL28">
        <v>1</v>
      </c>
      <c r="CM28">
        <v>4</v>
      </c>
      <c r="CN28">
        <v>3</v>
      </c>
      <c r="CO28">
        <v>2</v>
      </c>
      <c r="CP28">
        <v>1</v>
      </c>
      <c r="CQ28">
        <v>4</v>
      </c>
      <c r="CR28">
        <v>3</v>
      </c>
    </row>
    <row r="29" spans="1:96">
      <c r="A29">
        <v>28</v>
      </c>
      <c r="B29" s="20">
        <v>178</v>
      </c>
      <c r="C29">
        <v>4</v>
      </c>
      <c r="D29">
        <v>4</v>
      </c>
      <c r="E29">
        <v>1</v>
      </c>
      <c r="F29">
        <v>4</v>
      </c>
      <c r="G29">
        <v>4</v>
      </c>
      <c r="H29">
        <v>4</v>
      </c>
      <c r="I29">
        <v>1</v>
      </c>
      <c r="J29">
        <v>3</v>
      </c>
      <c r="K29">
        <v>4</v>
      </c>
      <c r="L29">
        <v>3</v>
      </c>
      <c r="M29">
        <v>1</v>
      </c>
      <c r="N29">
        <v>3</v>
      </c>
      <c r="O29">
        <v>4</v>
      </c>
      <c r="P29">
        <v>2</v>
      </c>
      <c r="Q29">
        <v>1</v>
      </c>
      <c r="R29">
        <v>4</v>
      </c>
      <c r="S29">
        <v>4</v>
      </c>
      <c r="T29">
        <v>3</v>
      </c>
      <c r="U29">
        <v>1</v>
      </c>
      <c r="V29">
        <v>4</v>
      </c>
      <c r="W29">
        <v>4</v>
      </c>
      <c r="X29">
        <v>4</v>
      </c>
      <c r="Y29">
        <v>1</v>
      </c>
      <c r="Z29">
        <v>3</v>
      </c>
      <c r="AA29">
        <v>4</v>
      </c>
      <c r="AB29">
        <v>1</v>
      </c>
      <c r="AC29">
        <v>1</v>
      </c>
      <c r="AD29">
        <v>4</v>
      </c>
      <c r="AE29">
        <v>3</v>
      </c>
      <c r="AF29">
        <v>1</v>
      </c>
      <c r="AG29">
        <v>1</v>
      </c>
      <c r="AH29">
        <v>3</v>
      </c>
      <c r="AI29">
        <v>4</v>
      </c>
      <c r="AJ29">
        <v>4</v>
      </c>
      <c r="AK29">
        <v>2</v>
      </c>
      <c r="AL29">
        <v>4</v>
      </c>
      <c r="AM29">
        <v>5</v>
      </c>
      <c r="AN29">
        <v>2</v>
      </c>
      <c r="AO29">
        <v>1</v>
      </c>
      <c r="AP29">
        <v>4</v>
      </c>
      <c r="AQ29">
        <v>5</v>
      </c>
      <c r="AR29">
        <v>2</v>
      </c>
      <c r="AS29">
        <v>1</v>
      </c>
      <c r="AT29">
        <v>4</v>
      </c>
      <c r="AU29">
        <v>4</v>
      </c>
      <c r="AV29">
        <v>4</v>
      </c>
      <c r="AW29">
        <v>1</v>
      </c>
      <c r="AX29">
        <v>4</v>
      </c>
      <c r="AY29">
        <v>5</v>
      </c>
      <c r="AZ29">
        <v>5</v>
      </c>
      <c r="BA29">
        <v>5</v>
      </c>
      <c r="BB29">
        <v>2</v>
      </c>
      <c r="BC29">
        <v>4</v>
      </c>
      <c r="BD29">
        <v>5</v>
      </c>
      <c r="BE29">
        <v>5</v>
      </c>
      <c r="BF29">
        <v>4</v>
      </c>
      <c r="BG29">
        <v>3</v>
      </c>
      <c r="BH29">
        <v>3</v>
      </c>
      <c r="BI29">
        <v>5</v>
      </c>
      <c r="BJ29">
        <v>5</v>
      </c>
      <c r="BK29">
        <v>4</v>
      </c>
      <c r="BL29">
        <v>3</v>
      </c>
      <c r="BM29">
        <v>4</v>
      </c>
      <c r="BN29">
        <v>4</v>
      </c>
      <c r="BO29">
        <v>5</v>
      </c>
      <c r="BP29">
        <v>4</v>
      </c>
      <c r="BQ29">
        <v>5</v>
      </c>
      <c r="BR29">
        <v>5</v>
      </c>
      <c r="BS29">
        <v>5</v>
      </c>
      <c r="BT29">
        <v>4</v>
      </c>
      <c r="BU29">
        <v>4</v>
      </c>
      <c r="BV29">
        <v>5</v>
      </c>
      <c r="BW29">
        <v>4</v>
      </c>
      <c r="BX29">
        <v>1</v>
      </c>
      <c r="BY29">
        <v>0</v>
      </c>
      <c r="BZ29">
        <v>1</v>
      </c>
      <c r="CA29">
        <v>0</v>
      </c>
      <c r="CB29">
        <v>1</v>
      </c>
      <c r="CC29">
        <v>1</v>
      </c>
      <c r="CD29">
        <v>0</v>
      </c>
      <c r="CE29">
        <v>1</v>
      </c>
      <c r="CF29">
        <v>0</v>
      </c>
      <c r="CG29">
        <v>0</v>
      </c>
      <c r="CH29">
        <v>1</v>
      </c>
      <c r="CI29">
        <v>4</v>
      </c>
      <c r="CJ29">
        <v>1</v>
      </c>
      <c r="CK29">
        <v>3</v>
      </c>
      <c r="CL29">
        <v>2</v>
      </c>
      <c r="CM29">
        <v>4</v>
      </c>
      <c r="CN29">
        <v>3</v>
      </c>
      <c r="CO29">
        <v>1</v>
      </c>
      <c r="CP29">
        <v>4</v>
      </c>
      <c r="CQ29">
        <v>2</v>
      </c>
      <c r="CR29">
        <v>3</v>
      </c>
    </row>
    <row r="30" spans="1:96">
      <c r="A30">
        <v>29</v>
      </c>
      <c r="B30" s="20">
        <v>190</v>
      </c>
      <c r="C30">
        <v>5</v>
      </c>
      <c r="D30">
        <v>4</v>
      </c>
      <c r="E30">
        <v>1</v>
      </c>
      <c r="F30">
        <v>2</v>
      </c>
      <c r="G30">
        <v>4</v>
      </c>
      <c r="H30">
        <v>3</v>
      </c>
      <c r="I30">
        <v>1</v>
      </c>
      <c r="J30">
        <v>2</v>
      </c>
      <c r="K30">
        <v>4</v>
      </c>
      <c r="L30">
        <v>2</v>
      </c>
      <c r="M30">
        <v>1</v>
      </c>
      <c r="N30">
        <v>4</v>
      </c>
      <c r="O30">
        <v>4</v>
      </c>
      <c r="P30">
        <v>4</v>
      </c>
      <c r="Q30">
        <v>2</v>
      </c>
      <c r="R30">
        <v>3</v>
      </c>
      <c r="S30">
        <v>3</v>
      </c>
      <c r="T30">
        <v>3</v>
      </c>
      <c r="U30">
        <v>1</v>
      </c>
      <c r="V30">
        <v>2</v>
      </c>
      <c r="W30">
        <v>2</v>
      </c>
      <c r="X30">
        <v>3</v>
      </c>
      <c r="Y30">
        <v>2</v>
      </c>
      <c r="Z30">
        <v>4</v>
      </c>
      <c r="AA30">
        <v>4</v>
      </c>
      <c r="AB30">
        <v>4</v>
      </c>
      <c r="AC30">
        <v>2</v>
      </c>
      <c r="AD30">
        <v>2</v>
      </c>
      <c r="AE30">
        <v>3</v>
      </c>
      <c r="AF30">
        <v>3</v>
      </c>
      <c r="AG30">
        <v>1</v>
      </c>
      <c r="AH30">
        <v>2</v>
      </c>
      <c r="AI30">
        <v>2</v>
      </c>
      <c r="AJ30">
        <v>4</v>
      </c>
      <c r="AK30">
        <v>2</v>
      </c>
      <c r="AL30">
        <v>3</v>
      </c>
      <c r="AM30">
        <v>5</v>
      </c>
      <c r="AN30">
        <v>4</v>
      </c>
      <c r="AO30">
        <v>1</v>
      </c>
      <c r="AP30">
        <v>2</v>
      </c>
      <c r="AQ30">
        <v>4</v>
      </c>
      <c r="AR30">
        <v>2</v>
      </c>
      <c r="AS30">
        <v>1</v>
      </c>
      <c r="AT30">
        <v>2</v>
      </c>
      <c r="AU30">
        <v>4</v>
      </c>
      <c r="AV30">
        <v>2</v>
      </c>
      <c r="AW30">
        <v>1</v>
      </c>
      <c r="AX30">
        <v>4</v>
      </c>
      <c r="AY30">
        <v>5</v>
      </c>
      <c r="AZ30">
        <v>5</v>
      </c>
      <c r="BA30">
        <v>5</v>
      </c>
      <c r="BB30">
        <v>4</v>
      </c>
      <c r="BC30">
        <v>5</v>
      </c>
      <c r="BD30">
        <v>4</v>
      </c>
      <c r="BE30">
        <v>5</v>
      </c>
      <c r="BF30">
        <v>5</v>
      </c>
      <c r="BG30">
        <v>4</v>
      </c>
      <c r="BH30">
        <v>5</v>
      </c>
      <c r="BI30">
        <v>5</v>
      </c>
      <c r="BJ30">
        <v>5</v>
      </c>
      <c r="BK30">
        <v>4</v>
      </c>
      <c r="BL30">
        <v>4</v>
      </c>
      <c r="BM30">
        <v>3</v>
      </c>
      <c r="BN30">
        <v>4</v>
      </c>
      <c r="BO30">
        <v>4</v>
      </c>
      <c r="BP30">
        <v>4</v>
      </c>
      <c r="BQ30">
        <v>4</v>
      </c>
      <c r="BR30">
        <v>4</v>
      </c>
      <c r="BS30">
        <v>4</v>
      </c>
      <c r="BT30">
        <v>4</v>
      </c>
      <c r="BU30">
        <v>5</v>
      </c>
      <c r="BV30">
        <v>4</v>
      </c>
      <c r="BW30">
        <v>5</v>
      </c>
      <c r="BX30">
        <v>1</v>
      </c>
      <c r="BY30">
        <v>0</v>
      </c>
      <c r="BZ30">
        <v>1</v>
      </c>
      <c r="CA30">
        <v>1</v>
      </c>
      <c r="CB30">
        <v>0</v>
      </c>
      <c r="CC30">
        <v>1</v>
      </c>
      <c r="CD30">
        <v>1</v>
      </c>
      <c r="CE30">
        <v>1</v>
      </c>
      <c r="CF30">
        <v>0</v>
      </c>
      <c r="CG30">
        <v>1</v>
      </c>
      <c r="CH30">
        <v>0</v>
      </c>
      <c r="CI30">
        <v>5</v>
      </c>
      <c r="CJ30">
        <v>1</v>
      </c>
      <c r="CK30">
        <v>3</v>
      </c>
      <c r="CL30">
        <v>4</v>
      </c>
      <c r="CM30">
        <v>2</v>
      </c>
      <c r="CN30">
        <v>3</v>
      </c>
      <c r="CO30">
        <v>2</v>
      </c>
      <c r="CP30">
        <v>4</v>
      </c>
      <c r="CQ30">
        <v>1</v>
      </c>
      <c r="CR30">
        <v>2</v>
      </c>
    </row>
    <row r="31" spans="1:96">
      <c r="A31">
        <v>30</v>
      </c>
      <c r="B31">
        <v>196</v>
      </c>
      <c r="C31">
        <v>5</v>
      </c>
      <c r="D31">
        <v>2</v>
      </c>
      <c r="E31">
        <v>1</v>
      </c>
      <c r="F31">
        <v>4</v>
      </c>
      <c r="G31">
        <v>4</v>
      </c>
      <c r="H31">
        <v>1</v>
      </c>
      <c r="I31">
        <v>1</v>
      </c>
      <c r="J31">
        <v>3</v>
      </c>
      <c r="K31">
        <v>1</v>
      </c>
      <c r="L31">
        <v>1</v>
      </c>
      <c r="M31">
        <v>1</v>
      </c>
      <c r="N31">
        <v>3</v>
      </c>
      <c r="O31">
        <v>3</v>
      </c>
      <c r="P31">
        <v>1</v>
      </c>
      <c r="Q31">
        <v>3</v>
      </c>
      <c r="R31">
        <v>4</v>
      </c>
      <c r="S31">
        <v>2</v>
      </c>
      <c r="T31">
        <v>1</v>
      </c>
      <c r="U31">
        <v>3</v>
      </c>
      <c r="V31">
        <v>4</v>
      </c>
      <c r="W31">
        <v>1</v>
      </c>
      <c r="X31">
        <v>1</v>
      </c>
      <c r="Y31">
        <v>1</v>
      </c>
      <c r="Z31">
        <v>3</v>
      </c>
      <c r="AA31">
        <v>3</v>
      </c>
      <c r="AB31">
        <v>1</v>
      </c>
      <c r="AC31">
        <v>2</v>
      </c>
      <c r="AD31">
        <v>4</v>
      </c>
      <c r="AE31">
        <v>3</v>
      </c>
      <c r="AF31">
        <v>1</v>
      </c>
      <c r="AG31">
        <v>2</v>
      </c>
      <c r="AH31">
        <v>4</v>
      </c>
      <c r="AI31">
        <v>1</v>
      </c>
      <c r="AJ31">
        <v>1</v>
      </c>
      <c r="AK31">
        <v>1</v>
      </c>
      <c r="AL31">
        <v>3</v>
      </c>
      <c r="AM31">
        <v>5</v>
      </c>
      <c r="AN31">
        <v>1</v>
      </c>
      <c r="AO31">
        <v>1</v>
      </c>
      <c r="AP31">
        <v>4</v>
      </c>
      <c r="AQ31">
        <v>5</v>
      </c>
      <c r="AR31">
        <v>1</v>
      </c>
      <c r="AS31">
        <v>1</v>
      </c>
      <c r="AT31">
        <v>4</v>
      </c>
      <c r="AU31">
        <v>1</v>
      </c>
      <c r="AV31">
        <v>1</v>
      </c>
      <c r="AW31">
        <v>1</v>
      </c>
      <c r="AX31">
        <v>5</v>
      </c>
      <c r="AY31">
        <v>5</v>
      </c>
      <c r="AZ31">
        <v>4</v>
      </c>
      <c r="BA31">
        <v>4</v>
      </c>
      <c r="BB31">
        <v>5</v>
      </c>
      <c r="BC31">
        <v>4</v>
      </c>
      <c r="BD31">
        <v>4</v>
      </c>
      <c r="BE31">
        <v>5</v>
      </c>
      <c r="BF31">
        <v>2</v>
      </c>
      <c r="BG31">
        <v>4</v>
      </c>
      <c r="BH31">
        <v>5</v>
      </c>
      <c r="BI31">
        <v>3</v>
      </c>
      <c r="BJ31">
        <v>3</v>
      </c>
      <c r="BK31">
        <v>4</v>
      </c>
      <c r="BL31">
        <v>4</v>
      </c>
      <c r="BM31">
        <v>4</v>
      </c>
      <c r="BN31">
        <v>4</v>
      </c>
      <c r="BO31">
        <v>5</v>
      </c>
      <c r="BP31">
        <v>5</v>
      </c>
      <c r="BQ31">
        <v>5</v>
      </c>
      <c r="BR31">
        <v>5</v>
      </c>
      <c r="BS31">
        <v>4</v>
      </c>
      <c r="BT31">
        <v>4</v>
      </c>
      <c r="BU31">
        <v>4</v>
      </c>
      <c r="BV31">
        <v>5</v>
      </c>
      <c r="BW31">
        <v>4</v>
      </c>
      <c r="BX31">
        <v>1</v>
      </c>
      <c r="BY31">
        <v>1</v>
      </c>
      <c r="BZ31">
        <v>1</v>
      </c>
      <c r="CA31">
        <v>0</v>
      </c>
      <c r="CB31">
        <v>1</v>
      </c>
      <c r="CC31">
        <v>1</v>
      </c>
      <c r="CD31">
        <v>0</v>
      </c>
      <c r="CE31">
        <v>1</v>
      </c>
      <c r="CF31">
        <v>0</v>
      </c>
      <c r="CG31">
        <v>1</v>
      </c>
      <c r="CH31">
        <v>0</v>
      </c>
      <c r="CI31">
        <v>2</v>
      </c>
      <c r="CJ31">
        <v>2</v>
      </c>
      <c r="CK31">
        <v>4</v>
      </c>
      <c r="CL31">
        <v>3</v>
      </c>
      <c r="CM31">
        <v>1</v>
      </c>
      <c r="CN31">
        <v>2</v>
      </c>
      <c r="CO31">
        <v>4</v>
      </c>
      <c r="CP31">
        <v>3</v>
      </c>
      <c r="CQ31">
        <v>1</v>
      </c>
      <c r="CR31">
        <v>5</v>
      </c>
    </row>
    <row r="32" spans="1:96">
      <c r="A32">
        <v>31</v>
      </c>
      <c r="B32">
        <v>197</v>
      </c>
      <c r="C32">
        <v>4</v>
      </c>
      <c r="D32">
        <v>3</v>
      </c>
      <c r="E32">
        <v>2</v>
      </c>
      <c r="F32">
        <v>1</v>
      </c>
      <c r="G32">
        <v>3</v>
      </c>
      <c r="H32">
        <v>1</v>
      </c>
      <c r="I32">
        <v>3</v>
      </c>
      <c r="J32">
        <v>1</v>
      </c>
      <c r="K32">
        <v>2</v>
      </c>
      <c r="L32">
        <v>4</v>
      </c>
      <c r="M32">
        <v>1</v>
      </c>
      <c r="N32">
        <v>3</v>
      </c>
      <c r="O32">
        <v>2</v>
      </c>
      <c r="P32">
        <v>4</v>
      </c>
      <c r="Q32">
        <v>3</v>
      </c>
      <c r="R32">
        <v>2</v>
      </c>
      <c r="S32">
        <v>2</v>
      </c>
      <c r="T32">
        <v>3</v>
      </c>
      <c r="U32">
        <v>1</v>
      </c>
      <c r="V32">
        <v>2</v>
      </c>
      <c r="W32">
        <v>2</v>
      </c>
      <c r="X32">
        <v>4</v>
      </c>
      <c r="Y32">
        <v>2</v>
      </c>
      <c r="Z32">
        <v>2</v>
      </c>
      <c r="AA32">
        <v>2</v>
      </c>
      <c r="AB32">
        <v>2</v>
      </c>
      <c r="AC32">
        <v>2</v>
      </c>
      <c r="AD32">
        <v>2</v>
      </c>
      <c r="AE32">
        <v>2</v>
      </c>
      <c r="AF32">
        <v>2</v>
      </c>
      <c r="AG32">
        <v>3</v>
      </c>
      <c r="AH32">
        <v>2</v>
      </c>
      <c r="AI32">
        <v>2</v>
      </c>
      <c r="AJ32">
        <v>3</v>
      </c>
      <c r="AK32">
        <v>1</v>
      </c>
      <c r="AL32">
        <v>2</v>
      </c>
      <c r="AM32">
        <v>4</v>
      </c>
      <c r="AN32">
        <v>3</v>
      </c>
      <c r="AO32">
        <v>1</v>
      </c>
      <c r="AP32">
        <v>3</v>
      </c>
      <c r="AQ32">
        <v>2</v>
      </c>
      <c r="AR32">
        <v>2</v>
      </c>
      <c r="AS32">
        <v>3</v>
      </c>
      <c r="AT32">
        <v>2</v>
      </c>
      <c r="AU32">
        <v>2</v>
      </c>
      <c r="AV32">
        <v>3</v>
      </c>
      <c r="AW32">
        <v>1</v>
      </c>
      <c r="AX32">
        <v>4</v>
      </c>
      <c r="AY32">
        <v>5</v>
      </c>
      <c r="AZ32">
        <v>5</v>
      </c>
      <c r="BA32">
        <v>5</v>
      </c>
      <c r="BB32">
        <v>5</v>
      </c>
      <c r="BC32">
        <v>5</v>
      </c>
      <c r="BD32">
        <v>5</v>
      </c>
      <c r="BE32">
        <v>4</v>
      </c>
      <c r="BF32">
        <v>4</v>
      </c>
      <c r="BG32">
        <v>3</v>
      </c>
      <c r="BH32">
        <v>3</v>
      </c>
      <c r="BI32">
        <v>4</v>
      </c>
      <c r="BJ32">
        <v>4</v>
      </c>
      <c r="BK32">
        <v>4</v>
      </c>
      <c r="BL32">
        <v>4</v>
      </c>
      <c r="BM32">
        <v>5</v>
      </c>
      <c r="BN32">
        <v>4</v>
      </c>
      <c r="BO32">
        <v>4</v>
      </c>
      <c r="BP32">
        <v>4</v>
      </c>
      <c r="BQ32">
        <v>4</v>
      </c>
      <c r="BR32">
        <v>4</v>
      </c>
      <c r="BS32">
        <v>3</v>
      </c>
      <c r="BT32">
        <v>3</v>
      </c>
      <c r="BU32">
        <v>4</v>
      </c>
      <c r="BV32">
        <v>4</v>
      </c>
      <c r="BW32">
        <v>4</v>
      </c>
      <c r="BX32">
        <v>1</v>
      </c>
      <c r="BY32">
        <v>0</v>
      </c>
      <c r="BZ32">
        <v>0</v>
      </c>
      <c r="CA32">
        <v>0</v>
      </c>
      <c r="CB32">
        <v>0</v>
      </c>
      <c r="CC32">
        <v>1</v>
      </c>
      <c r="CD32">
        <v>0</v>
      </c>
      <c r="CE32">
        <v>1</v>
      </c>
      <c r="CF32">
        <v>0</v>
      </c>
      <c r="CG32">
        <v>1</v>
      </c>
      <c r="CH32">
        <v>0</v>
      </c>
      <c r="CI32">
        <v>3</v>
      </c>
      <c r="CJ32">
        <v>2</v>
      </c>
      <c r="CK32">
        <v>4</v>
      </c>
      <c r="CL32">
        <v>3</v>
      </c>
      <c r="CM32">
        <v>1</v>
      </c>
      <c r="CN32">
        <v>2</v>
      </c>
      <c r="CO32">
        <v>4</v>
      </c>
      <c r="CP32">
        <v>3</v>
      </c>
      <c r="CQ32">
        <v>1</v>
      </c>
      <c r="CR32">
        <v>2</v>
      </c>
    </row>
    <row r="33" spans="1:96">
      <c r="A33">
        <v>32</v>
      </c>
      <c r="B33" s="20">
        <v>167</v>
      </c>
      <c r="C33">
        <v>4</v>
      </c>
      <c r="D33">
        <v>3</v>
      </c>
      <c r="E33">
        <v>2</v>
      </c>
      <c r="F33">
        <v>3</v>
      </c>
      <c r="G33">
        <v>2</v>
      </c>
      <c r="H33">
        <v>1</v>
      </c>
      <c r="I33">
        <v>1</v>
      </c>
      <c r="J33">
        <v>3</v>
      </c>
      <c r="K33">
        <v>3</v>
      </c>
      <c r="L33">
        <v>3</v>
      </c>
      <c r="M33">
        <v>1</v>
      </c>
      <c r="N33">
        <v>3</v>
      </c>
      <c r="O33">
        <v>3</v>
      </c>
      <c r="P33">
        <v>2</v>
      </c>
      <c r="Q33">
        <v>3</v>
      </c>
      <c r="R33">
        <v>3</v>
      </c>
      <c r="S33">
        <v>2</v>
      </c>
      <c r="T33">
        <v>2</v>
      </c>
      <c r="U33">
        <v>1</v>
      </c>
      <c r="V33">
        <v>2</v>
      </c>
      <c r="W33">
        <v>2</v>
      </c>
      <c r="X33">
        <v>3</v>
      </c>
      <c r="Y33">
        <v>1</v>
      </c>
      <c r="Z33">
        <v>2</v>
      </c>
      <c r="AA33">
        <v>3</v>
      </c>
      <c r="AB33">
        <v>1</v>
      </c>
      <c r="AC33">
        <v>1</v>
      </c>
      <c r="AD33">
        <v>2</v>
      </c>
      <c r="AE33">
        <v>3</v>
      </c>
      <c r="AF33">
        <v>1</v>
      </c>
      <c r="AG33">
        <v>1</v>
      </c>
      <c r="AH33">
        <v>3</v>
      </c>
      <c r="AI33">
        <v>3</v>
      </c>
      <c r="AJ33">
        <v>2</v>
      </c>
      <c r="AK33">
        <v>1</v>
      </c>
      <c r="AL33">
        <v>3</v>
      </c>
      <c r="AM33">
        <v>4</v>
      </c>
      <c r="AN33">
        <v>1</v>
      </c>
      <c r="AO33">
        <v>1</v>
      </c>
      <c r="AP33">
        <v>2</v>
      </c>
      <c r="AQ33">
        <v>4</v>
      </c>
      <c r="AR33">
        <v>1</v>
      </c>
      <c r="AS33">
        <v>1</v>
      </c>
      <c r="AT33">
        <v>3</v>
      </c>
      <c r="AU33">
        <v>3</v>
      </c>
      <c r="AV33">
        <v>2</v>
      </c>
      <c r="AW33">
        <v>1</v>
      </c>
      <c r="AX33">
        <v>3</v>
      </c>
      <c r="AY33">
        <v>4</v>
      </c>
      <c r="AZ33">
        <v>4</v>
      </c>
      <c r="BA33">
        <v>4</v>
      </c>
      <c r="BB33">
        <v>3</v>
      </c>
      <c r="BC33">
        <v>4</v>
      </c>
      <c r="BD33">
        <v>4</v>
      </c>
      <c r="BE33">
        <v>4</v>
      </c>
      <c r="BF33">
        <v>4</v>
      </c>
      <c r="BG33">
        <v>3</v>
      </c>
      <c r="BH33">
        <v>3</v>
      </c>
      <c r="BI33">
        <v>3</v>
      </c>
      <c r="BJ33">
        <v>4</v>
      </c>
      <c r="BK33">
        <v>4</v>
      </c>
      <c r="BL33">
        <v>4</v>
      </c>
      <c r="BM33">
        <v>4</v>
      </c>
      <c r="BN33">
        <v>4</v>
      </c>
      <c r="BO33">
        <v>4</v>
      </c>
      <c r="BP33">
        <v>4</v>
      </c>
      <c r="BQ33">
        <v>4</v>
      </c>
      <c r="BR33">
        <v>4</v>
      </c>
      <c r="BS33">
        <v>4</v>
      </c>
      <c r="BT33">
        <v>4</v>
      </c>
      <c r="BU33">
        <v>4</v>
      </c>
      <c r="BV33">
        <v>4</v>
      </c>
      <c r="BW33">
        <v>4</v>
      </c>
      <c r="BX33">
        <v>1</v>
      </c>
      <c r="BY33">
        <v>1</v>
      </c>
      <c r="BZ33">
        <v>1</v>
      </c>
      <c r="CA33">
        <v>1</v>
      </c>
      <c r="CB33">
        <v>0</v>
      </c>
      <c r="CC33">
        <v>1</v>
      </c>
      <c r="CD33">
        <v>0</v>
      </c>
      <c r="CE33">
        <v>0</v>
      </c>
      <c r="CF33">
        <v>1</v>
      </c>
      <c r="CG33">
        <v>1</v>
      </c>
      <c r="CH33">
        <v>1</v>
      </c>
      <c r="CI33">
        <v>4</v>
      </c>
      <c r="CJ33">
        <v>1</v>
      </c>
      <c r="CK33">
        <v>3</v>
      </c>
      <c r="CL33">
        <v>4</v>
      </c>
      <c r="CM33">
        <v>2</v>
      </c>
      <c r="CN33">
        <v>2</v>
      </c>
      <c r="CO33">
        <v>3</v>
      </c>
      <c r="CP33">
        <v>4</v>
      </c>
      <c r="CQ33">
        <v>1</v>
      </c>
      <c r="CR33">
        <v>1</v>
      </c>
    </row>
    <row r="34" spans="1:96">
      <c r="A34">
        <v>33</v>
      </c>
      <c r="B34" s="20">
        <v>187</v>
      </c>
      <c r="C34">
        <v>4</v>
      </c>
      <c r="D34">
        <v>1</v>
      </c>
      <c r="E34">
        <v>2</v>
      </c>
      <c r="F34">
        <v>5</v>
      </c>
      <c r="G34">
        <v>5</v>
      </c>
      <c r="H34">
        <v>1</v>
      </c>
      <c r="I34">
        <v>1</v>
      </c>
      <c r="J34">
        <v>3</v>
      </c>
      <c r="K34">
        <v>3</v>
      </c>
      <c r="L34">
        <v>3</v>
      </c>
      <c r="M34">
        <v>1</v>
      </c>
      <c r="N34">
        <v>4</v>
      </c>
      <c r="O34">
        <v>4</v>
      </c>
      <c r="P34">
        <v>2</v>
      </c>
      <c r="Q34">
        <v>1</v>
      </c>
      <c r="R34">
        <v>3</v>
      </c>
      <c r="S34">
        <v>3</v>
      </c>
      <c r="T34">
        <v>1</v>
      </c>
      <c r="U34">
        <v>1</v>
      </c>
      <c r="V34">
        <v>3</v>
      </c>
      <c r="W34">
        <v>2</v>
      </c>
      <c r="X34">
        <v>2</v>
      </c>
      <c r="Y34">
        <v>2</v>
      </c>
      <c r="Z34">
        <v>4</v>
      </c>
      <c r="AA34">
        <v>4</v>
      </c>
      <c r="AB34">
        <v>1</v>
      </c>
      <c r="AC34">
        <v>1</v>
      </c>
      <c r="AD34">
        <v>4</v>
      </c>
      <c r="AE34">
        <v>4</v>
      </c>
      <c r="AF34">
        <v>1</v>
      </c>
      <c r="AG34">
        <v>1</v>
      </c>
      <c r="AH34">
        <v>4</v>
      </c>
      <c r="AI34">
        <v>4</v>
      </c>
      <c r="AJ34">
        <v>3</v>
      </c>
      <c r="AK34">
        <v>1</v>
      </c>
      <c r="AL34">
        <v>4</v>
      </c>
      <c r="AM34">
        <v>5</v>
      </c>
      <c r="AN34">
        <v>1</v>
      </c>
      <c r="AO34">
        <v>1</v>
      </c>
      <c r="AP34">
        <v>4</v>
      </c>
      <c r="AQ34">
        <v>5</v>
      </c>
      <c r="AR34">
        <v>2</v>
      </c>
      <c r="AS34">
        <v>1</v>
      </c>
      <c r="AT34">
        <v>4</v>
      </c>
      <c r="AU34">
        <v>4</v>
      </c>
      <c r="AV34">
        <v>3</v>
      </c>
      <c r="AW34">
        <v>1</v>
      </c>
      <c r="AX34">
        <v>4</v>
      </c>
      <c r="AY34">
        <v>4</v>
      </c>
      <c r="AZ34">
        <v>5</v>
      </c>
      <c r="BA34">
        <v>4</v>
      </c>
      <c r="BB34">
        <v>3</v>
      </c>
      <c r="BC34">
        <v>5</v>
      </c>
      <c r="BD34">
        <v>5</v>
      </c>
      <c r="BE34">
        <v>5</v>
      </c>
      <c r="BF34">
        <v>5</v>
      </c>
      <c r="BG34">
        <v>4</v>
      </c>
      <c r="BH34">
        <v>1</v>
      </c>
      <c r="BI34">
        <v>4</v>
      </c>
      <c r="BJ34">
        <v>4</v>
      </c>
      <c r="BK34">
        <v>5</v>
      </c>
      <c r="BL34">
        <v>5</v>
      </c>
      <c r="BM34">
        <v>4</v>
      </c>
      <c r="BN34">
        <v>4</v>
      </c>
      <c r="BO34">
        <v>5</v>
      </c>
      <c r="BP34">
        <v>3</v>
      </c>
      <c r="BQ34">
        <v>5</v>
      </c>
      <c r="BR34">
        <v>5</v>
      </c>
      <c r="BS34">
        <v>5</v>
      </c>
      <c r="BT34">
        <v>3</v>
      </c>
      <c r="BU34">
        <v>4</v>
      </c>
      <c r="BV34">
        <v>5</v>
      </c>
      <c r="BW34">
        <v>5</v>
      </c>
      <c r="BX34">
        <v>1</v>
      </c>
      <c r="BY34">
        <v>1</v>
      </c>
      <c r="BZ34">
        <v>1</v>
      </c>
      <c r="CA34">
        <v>1</v>
      </c>
      <c r="CB34">
        <v>0</v>
      </c>
      <c r="CC34">
        <v>1</v>
      </c>
      <c r="CD34">
        <v>0</v>
      </c>
      <c r="CE34">
        <v>1</v>
      </c>
      <c r="CF34">
        <v>0</v>
      </c>
      <c r="CG34">
        <v>1</v>
      </c>
      <c r="CH34">
        <v>1</v>
      </c>
      <c r="CI34">
        <v>5</v>
      </c>
      <c r="CJ34">
        <v>2</v>
      </c>
      <c r="CK34">
        <v>4</v>
      </c>
      <c r="CL34">
        <v>3</v>
      </c>
      <c r="CM34">
        <v>1</v>
      </c>
      <c r="CN34">
        <v>3</v>
      </c>
      <c r="CO34">
        <v>1</v>
      </c>
      <c r="CP34">
        <v>2</v>
      </c>
      <c r="CQ34">
        <v>4</v>
      </c>
      <c r="CR34">
        <v>3</v>
      </c>
    </row>
    <row r="35" spans="1:96">
      <c r="A35">
        <v>34</v>
      </c>
      <c r="B35" s="20">
        <v>185</v>
      </c>
      <c r="C35">
        <v>4</v>
      </c>
      <c r="D35">
        <v>1</v>
      </c>
      <c r="E35">
        <v>3</v>
      </c>
      <c r="F35">
        <v>4</v>
      </c>
      <c r="G35">
        <v>3</v>
      </c>
      <c r="H35">
        <v>1</v>
      </c>
      <c r="I35">
        <v>2</v>
      </c>
      <c r="J35">
        <v>4</v>
      </c>
      <c r="K35">
        <v>3</v>
      </c>
      <c r="L35">
        <v>1</v>
      </c>
      <c r="M35">
        <v>1</v>
      </c>
      <c r="N35">
        <v>1</v>
      </c>
      <c r="O35">
        <v>1</v>
      </c>
      <c r="P35">
        <v>1</v>
      </c>
      <c r="Q35">
        <v>2</v>
      </c>
      <c r="R35">
        <v>4</v>
      </c>
      <c r="S35">
        <v>2</v>
      </c>
      <c r="T35">
        <v>1</v>
      </c>
      <c r="U35">
        <v>1</v>
      </c>
      <c r="V35">
        <v>3</v>
      </c>
      <c r="W35">
        <v>1</v>
      </c>
      <c r="X35">
        <v>1</v>
      </c>
      <c r="Y35">
        <v>2</v>
      </c>
      <c r="Z35">
        <v>3</v>
      </c>
      <c r="AA35">
        <v>3</v>
      </c>
      <c r="AB35">
        <v>1</v>
      </c>
      <c r="AC35">
        <v>1</v>
      </c>
      <c r="AD35">
        <v>3</v>
      </c>
      <c r="AE35">
        <v>2</v>
      </c>
      <c r="AF35">
        <v>2</v>
      </c>
      <c r="AG35">
        <v>1</v>
      </c>
      <c r="AH35">
        <v>4</v>
      </c>
      <c r="AI35">
        <v>1</v>
      </c>
      <c r="AJ35">
        <v>1</v>
      </c>
      <c r="AK35">
        <v>1</v>
      </c>
      <c r="AL35">
        <v>4</v>
      </c>
      <c r="AM35">
        <v>3</v>
      </c>
      <c r="AN35">
        <v>3</v>
      </c>
      <c r="AO35">
        <v>1</v>
      </c>
      <c r="AP35">
        <v>3</v>
      </c>
      <c r="AQ35">
        <v>3</v>
      </c>
      <c r="AR35">
        <v>1</v>
      </c>
      <c r="AS35">
        <v>1</v>
      </c>
      <c r="AT35">
        <v>2</v>
      </c>
      <c r="AU35">
        <v>1</v>
      </c>
      <c r="AV35">
        <v>1</v>
      </c>
      <c r="AW35">
        <v>1</v>
      </c>
      <c r="AX35">
        <v>4</v>
      </c>
      <c r="AY35">
        <v>5</v>
      </c>
      <c r="AZ35">
        <v>5</v>
      </c>
      <c r="BA35">
        <v>5</v>
      </c>
      <c r="BB35">
        <v>5</v>
      </c>
      <c r="BC35">
        <v>3</v>
      </c>
      <c r="BD35">
        <v>4</v>
      </c>
      <c r="BE35">
        <v>4</v>
      </c>
      <c r="BF35">
        <v>2</v>
      </c>
      <c r="BG35">
        <v>4</v>
      </c>
      <c r="BH35">
        <v>4</v>
      </c>
      <c r="BI35">
        <v>4</v>
      </c>
      <c r="BJ35">
        <v>4</v>
      </c>
      <c r="BK35">
        <v>4</v>
      </c>
      <c r="BL35">
        <v>4</v>
      </c>
      <c r="BM35">
        <v>4</v>
      </c>
      <c r="BN35">
        <v>3</v>
      </c>
      <c r="BO35">
        <v>4</v>
      </c>
      <c r="BP35">
        <v>4</v>
      </c>
      <c r="BQ35">
        <v>4</v>
      </c>
      <c r="BR35">
        <v>5</v>
      </c>
      <c r="BS35">
        <v>5</v>
      </c>
      <c r="BT35">
        <v>5</v>
      </c>
      <c r="BU35">
        <v>5</v>
      </c>
      <c r="BV35">
        <v>5</v>
      </c>
      <c r="BW35">
        <v>5</v>
      </c>
      <c r="BX35">
        <v>1</v>
      </c>
      <c r="BY35">
        <v>0</v>
      </c>
      <c r="BZ35">
        <v>1</v>
      </c>
      <c r="CA35">
        <v>0</v>
      </c>
      <c r="CB35">
        <v>1</v>
      </c>
      <c r="CC35">
        <v>1</v>
      </c>
      <c r="CD35">
        <v>1</v>
      </c>
      <c r="CE35">
        <v>1</v>
      </c>
      <c r="CF35">
        <v>0</v>
      </c>
      <c r="CG35">
        <v>1</v>
      </c>
      <c r="CH35">
        <v>1</v>
      </c>
      <c r="CI35">
        <v>2</v>
      </c>
      <c r="CJ35">
        <v>1</v>
      </c>
      <c r="CK35">
        <v>4</v>
      </c>
      <c r="CL35">
        <v>2</v>
      </c>
      <c r="CM35">
        <v>3</v>
      </c>
      <c r="CN35">
        <v>1</v>
      </c>
      <c r="CO35">
        <v>4</v>
      </c>
      <c r="CP35">
        <v>3</v>
      </c>
      <c r="CQ35">
        <v>2</v>
      </c>
      <c r="CR35">
        <v>2</v>
      </c>
    </row>
    <row r="36" spans="1:96">
      <c r="A36">
        <v>35</v>
      </c>
      <c r="B36" s="20">
        <v>193</v>
      </c>
      <c r="C36">
        <v>3</v>
      </c>
      <c r="D36">
        <v>2</v>
      </c>
      <c r="E36">
        <v>3</v>
      </c>
      <c r="F36">
        <v>3</v>
      </c>
      <c r="G36">
        <v>4</v>
      </c>
      <c r="H36">
        <v>2</v>
      </c>
      <c r="I36">
        <v>1</v>
      </c>
      <c r="J36">
        <v>3</v>
      </c>
      <c r="K36">
        <v>2</v>
      </c>
      <c r="L36">
        <v>2</v>
      </c>
      <c r="M36">
        <v>2</v>
      </c>
      <c r="N36">
        <v>3</v>
      </c>
      <c r="O36">
        <v>3</v>
      </c>
      <c r="P36">
        <v>2</v>
      </c>
      <c r="Q36">
        <v>1</v>
      </c>
      <c r="R36">
        <v>3</v>
      </c>
      <c r="S36">
        <v>3</v>
      </c>
      <c r="T36">
        <v>2</v>
      </c>
      <c r="U36">
        <v>1</v>
      </c>
      <c r="V36">
        <v>3</v>
      </c>
      <c r="W36">
        <v>2</v>
      </c>
      <c r="X36">
        <v>2</v>
      </c>
      <c r="Y36">
        <v>1</v>
      </c>
      <c r="Z36">
        <v>4</v>
      </c>
      <c r="AA36">
        <v>3</v>
      </c>
      <c r="AB36">
        <v>2</v>
      </c>
      <c r="AC36">
        <v>1</v>
      </c>
      <c r="AD36">
        <v>4</v>
      </c>
      <c r="AE36">
        <v>4</v>
      </c>
      <c r="AF36">
        <v>2</v>
      </c>
      <c r="AG36">
        <v>1</v>
      </c>
      <c r="AH36">
        <v>3</v>
      </c>
      <c r="AI36">
        <v>2</v>
      </c>
      <c r="AJ36">
        <v>2</v>
      </c>
      <c r="AK36">
        <v>1</v>
      </c>
      <c r="AL36">
        <v>4</v>
      </c>
      <c r="AM36">
        <v>4</v>
      </c>
      <c r="AN36">
        <v>2</v>
      </c>
      <c r="AO36">
        <v>1</v>
      </c>
      <c r="AP36">
        <v>4</v>
      </c>
      <c r="AQ36">
        <v>4</v>
      </c>
      <c r="AR36">
        <v>2</v>
      </c>
      <c r="AS36">
        <v>1</v>
      </c>
      <c r="AT36">
        <v>4</v>
      </c>
      <c r="AU36">
        <v>2</v>
      </c>
      <c r="AV36">
        <v>2</v>
      </c>
      <c r="AW36">
        <v>1</v>
      </c>
      <c r="AX36">
        <v>4</v>
      </c>
      <c r="AY36">
        <v>4</v>
      </c>
      <c r="AZ36">
        <v>5</v>
      </c>
      <c r="BA36">
        <v>4</v>
      </c>
      <c r="BB36">
        <v>4</v>
      </c>
      <c r="BC36">
        <v>4</v>
      </c>
      <c r="BD36">
        <v>5</v>
      </c>
      <c r="BE36">
        <v>4</v>
      </c>
      <c r="BF36">
        <v>4</v>
      </c>
      <c r="BG36">
        <v>5</v>
      </c>
      <c r="BH36">
        <v>3</v>
      </c>
      <c r="BI36">
        <v>5</v>
      </c>
      <c r="BJ36">
        <v>5</v>
      </c>
      <c r="BK36">
        <v>3</v>
      </c>
      <c r="BL36">
        <v>3</v>
      </c>
      <c r="BM36">
        <v>4</v>
      </c>
      <c r="BN36">
        <v>5</v>
      </c>
      <c r="BO36">
        <v>4</v>
      </c>
      <c r="BP36">
        <v>4</v>
      </c>
      <c r="BQ36">
        <v>5</v>
      </c>
      <c r="BR36">
        <v>4</v>
      </c>
      <c r="BS36">
        <v>5</v>
      </c>
      <c r="BT36">
        <v>5</v>
      </c>
      <c r="BU36">
        <v>5</v>
      </c>
      <c r="BV36">
        <v>3</v>
      </c>
      <c r="BW36">
        <v>4</v>
      </c>
      <c r="BX36">
        <v>1</v>
      </c>
      <c r="BY36">
        <v>0</v>
      </c>
      <c r="BZ36">
        <v>0</v>
      </c>
      <c r="CA36">
        <v>0</v>
      </c>
      <c r="CB36">
        <v>0</v>
      </c>
      <c r="CC36">
        <v>1</v>
      </c>
      <c r="CD36">
        <v>0</v>
      </c>
      <c r="CE36">
        <v>1</v>
      </c>
      <c r="CF36">
        <v>0</v>
      </c>
      <c r="CG36">
        <v>1</v>
      </c>
      <c r="CH36">
        <v>0</v>
      </c>
      <c r="CI36">
        <v>5</v>
      </c>
      <c r="CJ36">
        <v>1</v>
      </c>
      <c r="CK36">
        <v>4</v>
      </c>
      <c r="CL36">
        <v>3</v>
      </c>
      <c r="CM36">
        <v>2</v>
      </c>
      <c r="CN36">
        <v>2</v>
      </c>
      <c r="CO36">
        <v>3</v>
      </c>
      <c r="CP36">
        <v>4</v>
      </c>
      <c r="CQ36">
        <v>1</v>
      </c>
      <c r="CR36">
        <v>3</v>
      </c>
    </row>
    <row r="37" spans="1:96">
      <c r="A37">
        <v>36</v>
      </c>
      <c r="B37" s="20">
        <v>155</v>
      </c>
      <c r="C37">
        <v>3</v>
      </c>
      <c r="D37">
        <v>3</v>
      </c>
      <c r="E37">
        <v>2</v>
      </c>
      <c r="F37">
        <v>2</v>
      </c>
      <c r="G37">
        <v>2</v>
      </c>
      <c r="H37">
        <v>4</v>
      </c>
      <c r="I37">
        <v>2</v>
      </c>
      <c r="J37">
        <v>3</v>
      </c>
      <c r="K37">
        <v>2</v>
      </c>
      <c r="L37">
        <v>3</v>
      </c>
      <c r="M37">
        <v>2</v>
      </c>
      <c r="N37">
        <v>3</v>
      </c>
      <c r="O37">
        <v>1</v>
      </c>
      <c r="P37">
        <v>3</v>
      </c>
      <c r="Q37">
        <v>3</v>
      </c>
      <c r="R37">
        <v>2</v>
      </c>
      <c r="S37">
        <v>1</v>
      </c>
      <c r="T37">
        <v>3</v>
      </c>
      <c r="U37">
        <v>2</v>
      </c>
      <c r="V37">
        <v>2</v>
      </c>
      <c r="W37">
        <v>2</v>
      </c>
      <c r="X37">
        <v>3</v>
      </c>
      <c r="Y37">
        <v>3</v>
      </c>
      <c r="Z37">
        <v>2</v>
      </c>
      <c r="AA37">
        <v>3</v>
      </c>
      <c r="AB37">
        <v>3</v>
      </c>
      <c r="AC37">
        <v>2</v>
      </c>
      <c r="AD37">
        <v>2</v>
      </c>
      <c r="AE37">
        <v>2</v>
      </c>
      <c r="AF37">
        <v>3</v>
      </c>
      <c r="AG37">
        <v>2</v>
      </c>
      <c r="AH37">
        <v>2</v>
      </c>
      <c r="AI37">
        <v>2</v>
      </c>
      <c r="AJ37">
        <v>3</v>
      </c>
      <c r="AK37">
        <v>2</v>
      </c>
      <c r="AL37">
        <v>2</v>
      </c>
      <c r="AM37">
        <v>3</v>
      </c>
      <c r="AN37">
        <v>4</v>
      </c>
      <c r="AO37">
        <v>1</v>
      </c>
      <c r="AP37">
        <v>2</v>
      </c>
      <c r="AQ37">
        <v>3</v>
      </c>
      <c r="AR37">
        <v>3</v>
      </c>
      <c r="AS37">
        <v>1</v>
      </c>
      <c r="AT37">
        <v>2</v>
      </c>
      <c r="AU37">
        <v>2</v>
      </c>
      <c r="AV37">
        <v>3</v>
      </c>
      <c r="AW37">
        <v>1</v>
      </c>
      <c r="AX37">
        <v>3</v>
      </c>
      <c r="AY37">
        <v>4</v>
      </c>
      <c r="AZ37">
        <v>4</v>
      </c>
      <c r="BA37">
        <v>3</v>
      </c>
      <c r="BB37">
        <v>3</v>
      </c>
      <c r="BC37">
        <v>4</v>
      </c>
      <c r="BD37">
        <v>4</v>
      </c>
      <c r="BE37">
        <v>2</v>
      </c>
      <c r="BF37">
        <v>3</v>
      </c>
      <c r="BG37">
        <v>2</v>
      </c>
      <c r="BH37">
        <v>4</v>
      </c>
      <c r="BI37">
        <v>3</v>
      </c>
      <c r="BJ37">
        <v>3</v>
      </c>
      <c r="BK37">
        <v>3</v>
      </c>
      <c r="BL37">
        <v>3</v>
      </c>
      <c r="BM37">
        <v>4</v>
      </c>
      <c r="BN37">
        <v>3</v>
      </c>
      <c r="BO37">
        <v>4</v>
      </c>
      <c r="BP37">
        <v>3</v>
      </c>
      <c r="BQ37">
        <v>4</v>
      </c>
      <c r="BR37">
        <v>4</v>
      </c>
      <c r="BS37">
        <v>4</v>
      </c>
      <c r="BT37">
        <v>5</v>
      </c>
      <c r="BU37">
        <v>4</v>
      </c>
      <c r="BV37">
        <v>4</v>
      </c>
      <c r="BW37">
        <v>5</v>
      </c>
      <c r="BX37">
        <v>1</v>
      </c>
      <c r="BY37">
        <v>0</v>
      </c>
      <c r="BZ37">
        <v>0</v>
      </c>
      <c r="CA37">
        <v>1</v>
      </c>
      <c r="CB37">
        <v>0</v>
      </c>
      <c r="CC37">
        <v>1</v>
      </c>
      <c r="CD37">
        <v>0</v>
      </c>
      <c r="CE37">
        <v>0</v>
      </c>
      <c r="CF37">
        <v>0</v>
      </c>
      <c r="CG37">
        <v>1</v>
      </c>
      <c r="CH37">
        <v>0</v>
      </c>
      <c r="CI37">
        <v>4</v>
      </c>
      <c r="CJ37">
        <v>2</v>
      </c>
      <c r="CK37">
        <v>4</v>
      </c>
      <c r="CL37">
        <v>3</v>
      </c>
      <c r="CM37">
        <v>1</v>
      </c>
      <c r="CN37">
        <v>2</v>
      </c>
      <c r="CO37">
        <v>3</v>
      </c>
      <c r="CP37">
        <v>4</v>
      </c>
      <c r="CQ37">
        <v>1</v>
      </c>
      <c r="CR37">
        <v>3</v>
      </c>
    </row>
    <row r="38" spans="1:96">
      <c r="A38">
        <v>37</v>
      </c>
      <c r="B38" s="20">
        <v>194</v>
      </c>
      <c r="C38">
        <v>3</v>
      </c>
      <c r="D38">
        <v>2</v>
      </c>
      <c r="E38">
        <v>2</v>
      </c>
      <c r="F38">
        <v>4</v>
      </c>
      <c r="G38">
        <v>3</v>
      </c>
      <c r="H38">
        <v>2</v>
      </c>
      <c r="I38">
        <v>3</v>
      </c>
      <c r="J38">
        <v>3</v>
      </c>
      <c r="K38">
        <v>3</v>
      </c>
      <c r="L38">
        <v>2</v>
      </c>
      <c r="M38">
        <v>2</v>
      </c>
      <c r="N38">
        <v>3</v>
      </c>
      <c r="O38">
        <v>3</v>
      </c>
      <c r="P38">
        <v>2</v>
      </c>
      <c r="Q38">
        <v>1</v>
      </c>
      <c r="R38">
        <v>3</v>
      </c>
      <c r="S38">
        <v>3</v>
      </c>
      <c r="T38">
        <v>2</v>
      </c>
      <c r="U38">
        <v>1</v>
      </c>
      <c r="V38">
        <v>2</v>
      </c>
      <c r="W38">
        <v>1</v>
      </c>
      <c r="X38">
        <v>2</v>
      </c>
      <c r="Y38">
        <v>3</v>
      </c>
      <c r="Z38">
        <v>4</v>
      </c>
      <c r="AA38">
        <v>4</v>
      </c>
      <c r="AB38">
        <v>4</v>
      </c>
      <c r="AC38">
        <v>1</v>
      </c>
      <c r="AD38">
        <v>3</v>
      </c>
      <c r="AE38">
        <v>3</v>
      </c>
      <c r="AF38">
        <v>3</v>
      </c>
      <c r="AG38">
        <v>2</v>
      </c>
      <c r="AH38">
        <v>1</v>
      </c>
      <c r="AI38">
        <v>3</v>
      </c>
      <c r="AJ38">
        <v>1</v>
      </c>
      <c r="AK38">
        <v>3</v>
      </c>
      <c r="AL38">
        <v>3</v>
      </c>
      <c r="AM38">
        <v>5</v>
      </c>
      <c r="AN38">
        <v>1</v>
      </c>
      <c r="AO38">
        <v>1</v>
      </c>
      <c r="AP38">
        <v>3</v>
      </c>
      <c r="AQ38">
        <v>3</v>
      </c>
      <c r="AR38">
        <v>1</v>
      </c>
      <c r="AS38">
        <v>1</v>
      </c>
      <c r="AT38">
        <v>3</v>
      </c>
      <c r="AU38">
        <v>3</v>
      </c>
      <c r="AV38">
        <v>3</v>
      </c>
      <c r="AW38">
        <v>3</v>
      </c>
      <c r="AX38">
        <v>3</v>
      </c>
      <c r="AY38">
        <v>4</v>
      </c>
      <c r="AZ38">
        <v>4</v>
      </c>
      <c r="BA38">
        <v>3</v>
      </c>
      <c r="BB38">
        <v>2</v>
      </c>
      <c r="BC38">
        <v>4</v>
      </c>
      <c r="BD38">
        <v>5</v>
      </c>
      <c r="BE38">
        <v>4</v>
      </c>
      <c r="BF38">
        <v>4</v>
      </c>
      <c r="BG38">
        <v>3</v>
      </c>
      <c r="BH38">
        <v>4</v>
      </c>
      <c r="BI38">
        <v>3</v>
      </c>
      <c r="BJ38">
        <v>4</v>
      </c>
      <c r="BK38">
        <v>3</v>
      </c>
      <c r="BL38">
        <v>5</v>
      </c>
      <c r="BM38">
        <v>3</v>
      </c>
      <c r="BN38">
        <v>3</v>
      </c>
      <c r="BO38">
        <v>3</v>
      </c>
      <c r="BP38">
        <v>4</v>
      </c>
      <c r="BQ38">
        <v>4</v>
      </c>
      <c r="BR38">
        <v>4</v>
      </c>
      <c r="BS38">
        <v>3</v>
      </c>
      <c r="BT38">
        <v>3</v>
      </c>
      <c r="BU38">
        <v>3</v>
      </c>
      <c r="BV38">
        <v>3</v>
      </c>
      <c r="BW38">
        <v>2</v>
      </c>
      <c r="BX38">
        <v>1</v>
      </c>
      <c r="BY38">
        <v>1</v>
      </c>
      <c r="BZ38">
        <v>0</v>
      </c>
      <c r="CA38">
        <v>1</v>
      </c>
      <c r="CB38">
        <v>1</v>
      </c>
      <c r="CC38">
        <v>0</v>
      </c>
      <c r="CD38">
        <v>0</v>
      </c>
      <c r="CE38">
        <v>1</v>
      </c>
      <c r="CF38">
        <v>1</v>
      </c>
      <c r="CG38">
        <v>1</v>
      </c>
      <c r="CH38">
        <v>1</v>
      </c>
      <c r="CI38">
        <v>3</v>
      </c>
      <c r="CJ38">
        <v>3</v>
      </c>
      <c r="CK38">
        <v>4</v>
      </c>
      <c r="CL38">
        <v>2</v>
      </c>
      <c r="CM38">
        <v>1</v>
      </c>
      <c r="CN38">
        <v>3</v>
      </c>
      <c r="CO38">
        <v>4</v>
      </c>
      <c r="CP38">
        <v>2</v>
      </c>
      <c r="CQ38">
        <v>1</v>
      </c>
      <c r="CR38">
        <v>2</v>
      </c>
    </row>
    <row r="39" spans="1:96">
      <c r="A39">
        <v>38</v>
      </c>
      <c r="B39" s="20">
        <v>179</v>
      </c>
      <c r="C39">
        <v>1</v>
      </c>
      <c r="D39">
        <v>4</v>
      </c>
      <c r="E39">
        <v>4</v>
      </c>
      <c r="F39">
        <v>5</v>
      </c>
      <c r="G39">
        <v>1</v>
      </c>
      <c r="H39">
        <v>4</v>
      </c>
      <c r="I39">
        <v>3</v>
      </c>
      <c r="J39">
        <v>3</v>
      </c>
      <c r="K39">
        <v>1</v>
      </c>
      <c r="L39">
        <v>3</v>
      </c>
      <c r="M39">
        <v>4</v>
      </c>
      <c r="N39">
        <v>4</v>
      </c>
      <c r="O39">
        <v>1</v>
      </c>
      <c r="P39">
        <v>4</v>
      </c>
      <c r="Q39">
        <v>4</v>
      </c>
      <c r="R39">
        <v>3</v>
      </c>
      <c r="S39">
        <v>1</v>
      </c>
      <c r="T39">
        <v>4</v>
      </c>
      <c r="U39">
        <v>3</v>
      </c>
      <c r="V39">
        <v>3</v>
      </c>
      <c r="W39">
        <v>1</v>
      </c>
      <c r="X39">
        <v>2</v>
      </c>
      <c r="Y39">
        <v>3</v>
      </c>
      <c r="Z39">
        <v>3</v>
      </c>
      <c r="AA39">
        <v>1</v>
      </c>
      <c r="AB39">
        <v>3</v>
      </c>
      <c r="AC39">
        <v>4</v>
      </c>
      <c r="AD39">
        <v>5</v>
      </c>
      <c r="AE39">
        <v>1</v>
      </c>
      <c r="AF39">
        <v>4</v>
      </c>
      <c r="AG39">
        <v>3</v>
      </c>
      <c r="AH39">
        <v>4</v>
      </c>
      <c r="AI39">
        <v>1</v>
      </c>
      <c r="AJ39">
        <v>3</v>
      </c>
      <c r="AK39">
        <v>4</v>
      </c>
      <c r="AL39">
        <v>4</v>
      </c>
      <c r="AM39">
        <v>1</v>
      </c>
      <c r="AN39">
        <v>3</v>
      </c>
      <c r="AO39">
        <v>2</v>
      </c>
      <c r="AP39">
        <v>4</v>
      </c>
      <c r="AQ39">
        <v>1</v>
      </c>
      <c r="AR39">
        <v>3</v>
      </c>
      <c r="AS39">
        <v>4</v>
      </c>
      <c r="AT39">
        <v>3</v>
      </c>
      <c r="AU39">
        <v>1</v>
      </c>
      <c r="AV39">
        <v>2</v>
      </c>
      <c r="AW39">
        <v>4</v>
      </c>
      <c r="AX39">
        <v>1</v>
      </c>
      <c r="AY39">
        <v>4</v>
      </c>
      <c r="AZ39">
        <v>4</v>
      </c>
      <c r="BA39">
        <v>4</v>
      </c>
      <c r="BB39">
        <v>5</v>
      </c>
      <c r="BC39">
        <v>4</v>
      </c>
      <c r="BD39">
        <v>4</v>
      </c>
      <c r="BE39">
        <v>4</v>
      </c>
      <c r="BF39">
        <v>4</v>
      </c>
      <c r="BG39">
        <v>4</v>
      </c>
      <c r="BH39">
        <v>4</v>
      </c>
      <c r="BI39">
        <v>4</v>
      </c>
      <c r="BJ39">
        <v>4</v>
      </c>
      <c r="BK39">
        <v>5</v>
      </c>
      <c r="BL39">
        <v>5</v>
      </c>
      <c r="BM39">
        <v>5</v>
      </c>
      <c r="BN39">
        <v>5</v>
      </c>
      <c r="BO39">
        <v>5</v>
      </c>
      <c r="BP39">
        <v>5</v>
      </c>
      <c r="BQ39">
        <v>5</v>
      </c>
      <c r="BR39">
        <v>5</v>
      </c>
      <c r="BS39">
        <v>5</v>
      </c>
      <c r="BT39">
        <v>5</v>
      </c>
      <c r="BU39">
        <v>5</v>
      </c>
      <c r="BV39">
        <v>5</v>
      </c>
      <c r="BW39">
        <v>5</v>
      </c>
      <c r="BX39">
        <v>1</v>
      </c>
      <c r="BY39">
        <v>0</v>
      </c>
      <c r="BZ39">
        <v>0</v>
      </c>
      <c r="CA39">
        <v>0</v>
      </c>
      <c r="CB39">
        <v>0</v>
      </c>
      <c r="CC39">
        <v>0</v>
      </c>
      <c r="CD39">
        <v>0</v>
      </c>
      <c r="CE39">
        <v>1</v>
      </c>
      <c r="CF39">
        <v>0</v>
      </c>
      <c r="CG39">
        <v>1</v>
      </c>
      <c r="CH39">
        <v>0</v>
      </c>
      <c r="CI39">
        <v>3</v>
      </c>
      <c r="CJ39">
        <v>2</v>
      </c>
      <c r="CK39">
        <v>3</v>
      </c>
      <c r="CL39">
        <v>3</v>
      </c>
      <c r="CM39">
        <v>1</v>
      </c>
      <c r="CN39">
        <v>2</v>
      </c>
      <c r="CO39">
        <v>2</v>
      </c>
      <c r="CP39">
        <v>2</v>
      </c>
      <c r="CQ39">
        <v>3</v>
      </c>
      <c r="CR39">
        <v>2</v>
      </c>
    </row>
    <row r="40" spans="1:96">
      <c r="A40">
        <v>39</v>
      </c>
      <c r="B40" s="20">
        <v>188</v>
      </c>
      <c r="C40">
        <v>4</v>
      </c>
      <c r="D40">
        <v>2</v>
      </c>
      <c r="E40">
        <v>1</v>
      </c>
      <c r="F40">
        <v>4</v>
      </c>
      <c r="G40">
        <v>4</v>
      </c>
      <c r="H40">
        <v>1</v>
      </c>
      <c r="I40">
        <v>1</v>
      </c>
      <c r="J40">
        <v>4</v>
      </c>
      <c r="K40">
        <v>2</v>
      </c>
      <c r="L40">
        <v>1</v>
      </c>
      <c r="M40">
        <v>1</v>
      </c>
      <c r="N40">
        <v>4</v>
      </c>
      <c r="O40">
        <v>2</v>
      </c>
      <c r="P40">
        <v>3</v>
      </c>
      <c r="Q40">
        <v>1</v>
      </c>
      <c r="R40">
        <v>4</v>
      </c>
      <c r="S40">
        <v>2</v>
      </c>
      <c r="T40">
        <v>4</v>
      </c>
      <c r="U40">
        <v>1</v>
      </c>
      <c r="V40">
        <v>3</v>
      </c>
      <c r="W40">
        <v>2</v>
      </c>
      <c r="X40">
        <v>2</v>
      </c>
      <c r="Y40">
        <v>1</v>
      </c>
      <c r="Z40">
        <v>3</v>
      </c>
      <c r="AA40">
        <v>3</v>
      </c>
      <c r="AB40">
        <v>4</v>
      </c>
      <c r="AC40">
        <v>1</v>
      </c>
      <c r="AD40">
        <v>4</v>
      </c>
      <c r="AE40">
        <v>2</v>
      </c>
      <c r="AF40">
        <v>2</v>
      </c>
      <c r="AG40">
        <v>1</v>
      </c>
      <c r="AH40">
        <v>4</v>
      </c>
      <c r="AI40">
        <v>1</v>
      </c>
      <c r="AJ40">
        <v>3</v>
      </c>
      <c r="AK40">
        <v>1</v>
      </c>
      <c r="AL40">
        <v>3</v>
      </c>
      <c r="AM40">
        <v>4</v>
      </c>
      <c r="AN40">
        <v>2</v>
      </c>
      <c r="AO40">
        <v>1</v>
      </c>
      <c r="AP40">
        <v>3</v>
      </c>
      <c r="AQ40">
        <v>4</v>
      </c>
      <c r="AR40">
        <v>1</v>
      </c>
      <c r="AS40">
        <v>1</v>
      </c>
      <c r="AT40">
        <v>4</v>
      </c>
      <c r="AU40">
        <v>1</v>
      </c>
      <c r="AV40">
        <v>1</v>
      </c>
      <c r="AW40">
        <v>1</v>
      </c>
      <c r="AX40">
        <v>4</v>
      </c>
      <c r="AY40">
        <v>4</v>
      </c>
      <c r="AZ40">
        <v>5</v>
      </c>
      <c r="BA40">
        <v>5</v>
      </c>
      <c r="BB40">
        <v>5</v>
      </c>
      <c r="BC40">
        <v>4</v>
      </c>
      <c r="BD40">
        <v>4</v>
      </c>
      <c r="BE40">
        <v>4</v>
      </c>
      <c r="BF40">
        <v>4</v>
      </c>
      <c r="BG40">
        <v>5</v>
      </c>
      <c r="BH40">
        <v>4</v>
      </c>
      <c r="BI40">
        <v>4</v>
      </c>
      <c r="BJ40">
        <v>4</v>
      </c>
      <c r="BK40">
        <v>4</v>
      </c>
      <c r="BL40">
        <v>4</v>
      </c>
      <c r="BM40">
        <v>4</v>
      </c>
      <c r="BN40">
        <v>4</v>
      </c>
      <c r="BO40">
        <v>4</v>
      </c>
      <c r="BP40">
        <v>4</v>
      </c>
      <c r="BQ40">
        <v>4</v>
      </c>
      <c r="BR40">
        <v>4</v>
      </c>
      <c r="BS40">
        <v>4</v>
      </c>
      <c r="BT40">
        <v>4</v>
      </c>
      <c r="BU40">
        <v>4</v>
      </c>
      <c r="BV40">
        <v>4</v>
      </c>
      <c r="BW40">
        <v>4</v>
      </c>
      <c r="BX40">
        <v>1</v>
      </c>
      <c r="BY40">
        <v>0</v>
      </c>
      <c r="BZ40">
        <v>1</v>
      </c>
      <c r="CA40">
        <v>0</v>
      </c>
      <c r="CB40">
        <v>0</v>
      </c>
      <c r="CC40">
        <v>1</v>
      </c>
      <c r="CD40">
        <v>1</v>
      </c>
      <c r="CE40">
        <v>1</v>
      </c>
      <c r="CF40">
        <v>0</v>
      </c>
      <c r="CG40">
        <v>1</v>
      </c>
      <c r="CH40">
        <v>1</v>
      </c>
      <c r="CI40">
        <v>4</v>
      </c>
      <c r="CJ40">
        <v>1</v>
      </c>
      <c r="CK40">
        <v>4</v>
      </c>
      <c r="CL40">
        <v>2</v>
      </c>
      <c r="CM40">
        <v>3</v>
      </c>
      <c r="CN40">
        <v>1</v>
      </c>
      <c r="CO40">
        <v>4</v>
      </c>
      <c r="CP40">
        <v>3</v>
      </c>
      <c r="CQ40">
        <v>2</v>
      </c>
      <c r="CR40">
        <v>2</v>
      </c>
    </row>
    <row r="41" spans="1:96">
      <c r="A41">
        <v>40</v>
      </c>
      <c r="B41" s="20">
        <v>191</v>
      </c>
      <c r="C41">
        <v>4</v>
      </c>
      <c r="D41">
        <v>3</v>
      </c>
      <c r="E41">
        <v>2</v>
      </c>
      <c r="F41">
        <v>3</v>
      </c>
      <c r="G41">
        <v>4</v>
      </c>
      <c r="H41">
        <v>4</v>
      </c>
      <c r="I41">
        <v>2</v>
      </c>
      <c r="J41">
        <v>2</v>
      </c>
      <c r="K41">
        <v>3</v>
      </c>
      <c r="L41">
        <v>3</v>
      </c>
      <c r="M41">
        <v>2</v>
      </c>
      <c r="N41">
        <v>3</v>
      </c>
      <c r="O41">
        <v>5</v>
      </c>
      <c r="P41">
        <v>1</v>
      </c>
      <c r="Q41">
        <v>1</v>
      </c>
      <c r="R41">
        <v>3</v>
      </c>
      <c r="S41">
        <v>4</v>
      </c>
      <c r="T41">
        <v>3</v>
      </c>
      <c r="U41">
        <v>1</v>
      </c>
      <c r="V41">
        <v>2</v>
      </c>
      <c r="W41">
        <v>4</v>
      </c>
      <c r="X41">
        <v>2</v>
      </c>
      <c r="Y41">
        <v>1</v>
      </c>
      <c r="Z41">
        <v>1</v>
      </c>
      <c r="AA41">
        <v>2</v>
      </c>
      <c r="AB41">
        <v>3</v>
      </c>
      <c r="AC41">
        <v>4</v>
      </c>
      <c r="AD41">
        <v>2</v>
      </c>
      <c r="AE41">
        <v>3</v>
      </c>
      <c r="AF41">
        <v>3</v>
      </c>
      <c r="AG41">
        <v>4</v>
      </c>
      <c r="AH41">
        <v>2</v>
      </c>
      <c r="AI41">
        <v>2</v>
      </c>
      <c r="AJ41">
        <v>4</v>
      </c>
      <c r="AK41">
        <v>4</v>
      </c>
      <c r="AL41">
        <v>2</v>
      </c>
      <c r="AM41">
        <v>5</v>
      </c>
      <c r="AN41">
        <v>4</v>
      </c>
      <c r="AO41">
        <v>1</v>
      </c>
      <c r="AP41">
        <v>3</v>
      </c>
      <c r="AQ41">
        <v>4</v>
      </c>
      <c r="AR41">
        <v>3</v>
      </c>
      <c r="AS41">
        <v>1</v>
      </c>
      <c r="AT41">
        <v>2</v>
      </c>
      <c r="AU41">
        <v>3</v>
      </c>
      <c r="AV41">
        <v>4</v>
      </c>
      <c r="AW41">
        <v>1</v>
      </c>
      <c r="AX41">
        <v>3</v>
      </c>
      <c r="AY41">
        <v>5</v>
      </c>
      <c r="AZ41">
        <v>5</v>
      </c>
      <c r="BA41">
        <v>3</v>
      </c>
      <c r="BB41">
        <v>2</v>
      </c>
      <c r="BC41">
        <v>5</v>
      </c>
      <c r="BD41">
        <v>4</v>
      </c>
      <c r="BE41">
        <v>4</v>
      </c>
      <c r="BF41">
        <v>5</v>
      </c>
      <c r="BG41">
        <v>2</v>
      </c>
      <c r="BH41">
        <v>4</v>
      </c>
      <c r="BI41">
        <v>3</v>
      </c>
      <c r="BJ41">
        <v>4</v>
      </c>
      <c r="BK41">
        <v>3</v>
      </c>
      <c r="BL41">
        <v>3</v>
      </c>
      <c r="BM41">
        <v>4</v>
      </c>
      <c r="BN41">
        <v>3</v>
      </c>
      <c r="BO41">
        <v>4</v>
      </c>
      <c r="BP41">
        <v>4</v>
      </c>
      <c r="BQ41">
        <v>5</v>
      </c>
      <c r="BR41">
        <v>5</v>
      </c>
      <c r="BS41">
        <v>4</v>
      </c>
      <c r="BT41">
        <v>3</v>
      </c>
      <c r="BU41">
        <v>4</v>
      </c>
      <c r="BV41">
        <v>3</v>
      </c>
      <c r="BW41">
        <v>4</v>
      </c>
      <c r="BX41">
        <v>1</v>
      </c>
      <c r="BY41">
        <v>0</v>
      </c>
      <c r="BZ41">
        <v>1</v>
      </c>
      <c r="CA41">
        <v>0</v>
      </c>
      <c r="CB41">
        <v>0</v>
      </c>
      <c r="CC41">
        <v>1</v>
      </c>
      <c r="CD41">
        <v>0</v>
      </c>
      <c r="CE41">
        <v>1</v>
      </c>
      <c r="CF41">
        <v>0</v>
      </c>
      <c r="CG41">
        <v>1</v>
      </c>
      <c r="CH41">
        <v>0</v>
      </c>
      <c r="CI41">
        <v>4</v>
      </c>
      <c r="CJ41">
        <v>2</v>
      </c>
      <c r="CK41">
        <v>1</v>
      </c>
      <c r="CL41">
        <v>4</v>
      </c>
      <c r="CM41">
        <v>3</v>
      </c>
      <c r="CN41">
        <v>3</v>
      </c>
      <c r="CO41">
        <v>1</v>
      </c>
      <c r="CP41">
        <v>4</v>
      </c>
      <c r="CQ41">
        <v>2</v>
      </c>
      <c r="CR41">
        <v>2</v>
      </c>
    </row>
    <row r="42" spans="1:96">
      <c r="A42">
        <v>41</v>
      </c>
      <c r="B42" s="20">
        <v>157</v>
      </c>
      <c r="C42">
        <v>3</v>
      </c>
      <c r="D42">
        <v>3</v>
      </c>
      <c r="E42">
        <v>2</v>
      </c>
      <c r="F42">
        <v>4</v>
      </c>
      <c r="G42">
        <v>3</v>
      </c>
      <c r="H42">
        <v>2</v>
      </c>
      <c r="I42">
        <v>1</v>
      </c>
      <c r="J42">
        <v>2</v>
      </c>
      <c r="K42">
        <v>2</v>
      </c>
      <c r="L42">
        <v>3</v>
      </c>
      <c r="M42">
        <v>1</v>
      </c>
      <c r="N42">
        <v>3</v>
      </c>
      <c r="O42">
        <v>2</v>
      </c>
      <c r="P42">
        <v>1</v>
      </c>
      <c r="Q42">
        <v>3</v>
      </c>
      <c r="R42">
        <v>4</v>
      </c>
      <c r="S42">
        <v>2</v>
      </c>
      <c r="T42">
        <v>3</v>
      </c>
      <c r="U42">
        <v>2</v>
      </c>
      <c r="V42">
        <v>2</v>
      </c>
      <c r="W42">
        <v>1</v>
      </c>
      <c r="X42">
        <v>2</v>
      </c>
      <c r="Y42">
        <v>2</v>
      </c>
      <c r="Z42">
        <v>2</v>
      </c>
      <c r="AA42">
        <v>1</v>
      </c>
      <c r="AB42">
        <v>5</v>
      </c>
      <c r="AC42">
        <v>1</v>
      </c>
      <c r="AD42">
        <v>2</v>
      </c>
      <c r="AE42">
        <v>1</v>
      </c>
      <c r="AF42">
        <v>4</v>
      </c>
      <c r="AG42">
        <v>2</v>
      </c>
      <c r="AH42">
        <v>1</v>
      </c>
      <c r="AI42">
        <v>2</v>
      </c>
      <c r="AJ42">
        <v>4</v>
      </c>
      <c r="AK42">
        <v>2</v>
      </c>
      <c r="AL42">
        <v>2</v>
      </c>
      <c r="AM42">
        <v>5</v>
      </c>
      <c r="AN42">
        <v>3</v>
      </c>
      <c r="AO42">
        <v>1</v>
      </c>
      <c r="AP42">
        <v>4</v>
      </c>
      <c r="AQ42">
        <v>5</v>
      </c>
      <c r="AR42">
        <v>2</v>
      </c>
      <c r="AS42">
        <v>1</v>
      </c>
      <c r="AT42">
        <v>2</v>
      </c>
      <c r="AU42">
        <v>3</v>
      </c>
      <c r="AV42">
        <v>2</v>
      </c>
      <c r="AW42">
        <v>1</v>
      </c>
      <c r="AX42">
        <v>5</v>
      </c>
      <c r="AY42">
        <v>5</v>
      </c>
      <c r="AZ42">
        <v>4</v>
      </c>
      <c r="BA42">
        <v>3</v>
      </c>
      <c r="BB42">
        <v>4</v>
      </c>
      <c r="BC42">
        <v>4</v>
      </c>
      <c r="BD42">
        <v>3</v>
      </c>
      <c r="BE42">
        <v>4</v>
      </c>
      <c r="BF42">
        <v>4</v>
      </c>
      <c r="BG42">
        <v>4</v>
      </c>
      <c r="BH42">
        <v>4</v>
      </c>
      <c r="BI42">
        <v>4</v>
      </c>
      <c r="BJ42">
        <v>4</v>
      </c>
      <c r="BK42">
        <v>3</v>
      </c>
      <c r="BL42">
        <v>4</v>
      </c>
      <c r="BM42">
        <v>4</v>
      </c>
      <c r="BN42">
        <v>3</v>
      </c>
      <c r="BO42">
        <v>4</v>
      </c>
      <c r="BP42">
        <v>4</v>
      </c>
      <c r="BQ42">
        <v>4</v>
      </c>
      <c r="BR42">
        <v>4</v>
      </c>
      <c r="BS42">
        <v>5</v>
      </c>
      <c r="BT42">
        <v>4</v>
      </c>
      <c r="BU42">
        <v>3</v>
      </c>
      <c r="BV42">
        <v>4</v>
      </c>
      <c r="BW42">
        <v>4</v>
      </c>
      <c r="BX42">
        <v>1</v>
      </c>
      <c r="BY42">
        <v>0</v>
      </c>
      <c r="BZ42">
        <v>1</v>
      </c>
      <c r="CA42">
        <v>0</v>
      </c>
      <c r="CB42">
        <v>1</v>
      </c>
      <c r="CC42">
        <v>1</v>
      </c>
      <c r="CD42">
        <v>0</v>
      </c>
      <c r="CE42">
        <v>1</v>
      </c>
      <c r="CF42">
        <v>0</v>
      </c>
      <c r="CG42">
        <v>1</v>
      </c>
      <c r="CH42">
        <v>0</v>
      </c>
      <c r="CI42">
        <v>3</v>
      </c>
      <c r="CJ42">
        <v>2</v>
      </c>
      <c r="CK42">
        <v>1</v>
      </c>
      <c r="CL42">
        <v>4</v>
      </c>
      <c r="CM42">
        <v>3</v>
      </c>
      <c r="CN42">
        <v>3</v>
      </c>
      <c r="CO42">
        <v>1</v>
      </c>
      <c r="CP42">
        <v>4</v>
      </c>
      <c r="CQ42">
        <v>2</v>
      </c>
      <c r="CR42">
        <v>2</v>
      </c>
    </row>
    <row r="44" spans="1:96">
      <c r="BJ44" s="27"/>
    </row>
  </sheetData>
  <conditionalFormatting sqref="C1:CR1 B2:CR42 CM44:CM47">
    <cfRule type="containsBlanks" dxfId="33" priority="1">
      <formula>LEN(TRIM(B1))=0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E6BE2-31B4-4F86-BD3C-773A97465853}">
  <dimension ref="A1:L42"/>
  <sheetViews>
    <sheetView zoomScale="85" zoomScaleNormal="85" workbookViewId="0"/>
  </sheetViews>
  <sheetFormatPr defaultRowHeight="15"/>
  <cols>
    <col min="3" max="12" width="24.140625" style="35" customWidth="1"/>
  </cols>
  <sheetData>
    <row r="1" spans="1:12">
      <c r="A1" s="24" t="s">
        <v>1319</v>
      </c>
      <c r="B1" s="36" t="s">
        <v>1196</v>
      </c>
      <c r="C1" s="25" t="s">
        <v>952</v>
      </c>
      <c r="D1" s="25" t="s">
        <v>951</v>
      </c>
      <c r="E1" s="25" t="s">
        <v>950</v>
      </c>
      <c r="F1" s="25" t="s">
        <v>949</v>
      </c>
      <c r="G1" s="25" t="s">
        <v>948</v>
      </c>
      <c r="H1" s="25" t="s">
        <v>947</v>
      </c>
      <c r="I1" s="25" t="s">
        <v>946</v>
      </c>
      <c r="J1" s="25" t="s">
        <v>945</v>
      </c>
      <c r="K1" s="25" t="s">
        <v>944</v>
      </c>
      <c r="L1" s="25" t="s">
        <v>943</v>
      </c>
    </row>
    <row r="2" spans="1:12">
      <c r="A2">
        <v>1</v>
      </c>
      <c r="B2" s="20">
        <v>177</v>
      </c>
      <c r="C2" s="57" t="s">
        <v>942</v>
      </c>
      <c r="D2" s="57" t="s">
        <v>701</v>
      </c>
      <c r="E2" s="57" t="s">
        <v>941</v>
      </c>
      <c r="F2" s="57" t="s">
        <v>940</v>
      </c>
      <c r="G2" s="57" t="s">
        <v>939</v>
      </c>
      <c r="H2" s="57" t="s">
        <v>938</v>
      </c>
      <c r="I2" s="57" t="s">
        <v>937</v>
      </c>
      <c r="J2" s="57" t="s">
        <v>936</v>
      </c>
      <c r="K2" s="57" t="s">
        <v>935</v>
      </c>
      <c r="L2" s="57" t="s">
        <v>934</v>
      </c>
    </row>
    <row r="3" spans="1:12">
      <c r="A3">
        <v>2</v>
      </c>
      <c r="B3" s="20">
        <v>175</v>
      </c>
      <c r="C3" s="57" t="s">
        <v>933</v>
      </c>
      <c r="D3" s="57" t="s">
        <v>932</v>
      </c>
      <c r="E3" s="57" t="s">
        <v>931</v>
      </c>
      <c r="F3" s="57" t="s">
        <v>930</v>
      </c>
      <c r="G3" s="57" t="s">
        <v>929</v>
      </c>
      <c r="H3" s="57" t="s">
        <v>928</v>
      </c>
      <c r="I3" s="57" t="s">
        <v>927</v>
      </c>
      <c r="J3" s="57" t="s">
        <v>926</v>
      </c>
      <c r="K3" s="57" t="s">
        <v>925</v>
      </c>
      <c r="L3" s="57" t="s">
        <v>924</v>
      </c>
    </row>
    <row r="4" spans="1:12">
      <c r="A4">
        <v>3</v>
      </c>
      <c r="B4" s="20">
        <v>192</v>
      </c>
      <c r="C4" s="57" t="s">
        <v>923</v>
      </c>
      <c r="D4" s="39" t="s">
        <v>7</v>
      </c>
      <c r="E4" s="57" t="s">
        <v>922</v>
      </c>
      <c r="F4" s="57" t="s">
        <v>921</v>
      </c>
      <c r="G4" s="57" t="s">
        <v>920</v>
      </c>
      <c r="H4" s="57" t="s">
        <v>919</v>
      </c>
      <c r="I4" s="57" t="s">
        <v>918</v>
      </c>
      <c r="J4" s="57" t="s">
        <v>917</v>
      </c>
      <c r="K4" s="39" t="s">
        <v>7</v>
      </c>
      <c r="L4" s="39" t="s">
        <v>7</v>
      </c>
    </row>
    <row r="5" spans="1:12">
      <c r="A5">
        <v>4</v>
      </c>
      <c r="B5" s="20">
        <v>166</v>
      </c>
      <c r="C5" s="57" t="s">
        <v>916</v>
      </c>
      <c r="D5" s="57" t="s">
        <v>915</v>
      </c>
      <c r="E5" s="57" t="s">
        <v>914</v>
      </c>
      <c r="F5" s="57" t="s">
        <v>913</v>
      </c>
      <c r="G5" s="57" t="s">
        <v>912</v>
      </c>
      <c r="H5" s="57" t="s">
        <v>911</v>
      </c>
      <c r="I5" s="57" t="s">
        <v>910</v>
      </c>
      <c r="J5" s="57" t="s">
        <v>909</v>
      </c>
      <c r="K5" s="57" t="s">
        <v>908</v>
      </c>
      <c r="L5" s="57" t="s">
        <v>907</v>
      </c>
    </row>
    <row r="6" spans="1:12">
      <c r="A6">
        <v>5</v>
      </c>
      <c r="B6" s="20">
        <v>173</v>
      </c>
      <c r="C6" s="57" t="s">
        <v>906</v>
      </c>
      <c r="D6" s="57" t="s">
        <v>905</v>
      </c>
      <c r="E6" s="57" t="s">
        <v>904</v>
      </c>
      <c r="F6" s="57" t="s">
        <v>903</v>
      </c>
      <c r="G6" s="57" t="s">
        <v>902</v>
      </c>
      <c r="H6" s="57" t="s">
        <v>901</v>
      </c>
      <c r="I6" s="57" t="s">
        <v>900</v>
      </c>
      <c r="J6" s="57" t="s">
        <v>899</v>
      </c>
      <c r="K6" s="57" t="s">
        <v>898</v>
      </c>
      <c r="L6" s="57" t="s">
        <v>897</v>
      </c>
    </row>
    <row r="7" spans="1:12">
      <c r="A7">
        <v>6</v>
      </c>
      <c r="B7" s="20">
        <v>154</v>
      </c>
      <c r="C7" s="57" t="s">
        <v>896</v>
      </c>
      <c r="D7" s="57" t="s">
        <v>895</v>
      </c>
      <c r="E7" s="57" t="s">
        <v>894</v>
      </c>
      <c r="F7" s="57" t="s">
        <v>893</v>
      </c>
      <c r="G7" s="57" t="s">
        <v>892</v>
      </c>
      <c r="H7" s="57" t="s">
        <v>891</v>
      </c>
      <c r="I7" s="57" t="s">
        <v>890</v>
      </c>
      <c r="J7" s="57" t="s">
        <v>889</v>
      </c>
      <c r="K7" s="57" t="s">
        <v>888</v>
      </c>
      <c r="L7" s="57" t="s">
        <v>887</v>
      </c>
    </row>
    <row r="8" spans="1:12">
      <c r="A8">
        <v>7</v>
      </c>
      <c r="B8" s="20">
        <v>169</v>
      </c>
      <c r="C8" s="57" t="s">
        <v>886</v>
      </c>
      <c r="D8" s="57" t="s">
        <v>885</v>
      </c>
      <c r="E8" s="57" t="s">
        <v>884</v>
      </c>
      <c r="F8" s="57" t="s">
        <v>883</v>
      </c>
      <c r="G8" s="57" t="s">
        <v>882</v>
      </c>
      <c r="H8" s="57" t="s">
        <v>881</v>
      </c>
      <c r="I8" s="57" t="s">
        <v>880</v>
      </c>
      <c r="J8" s="57" t="s">
        <v>879</v>
      </c>
      <c r="K8" s="57" t="s">
        <v>878</v>
      </c>
      <c r="L8" s="57" t="s">
        <v>877</v>
      </c>
    </row>
    <row r="9" spans="1:12">
      <c r="A9">
        <v>8</v>
      </c>
      <c r="B9" s="20">
        <v>172</v>
      </c>
      <c r="C9" s="57" t="s">
        <v>876</v>
      </c>
      <c r="D9" s="57" t="s">
        <v>875</v>
      </c>
      <c r="E9" s="57" t="s">
        <v>874</v>
      </c>
      <c r="F9" s="57" t="s">
        <v>873</v>
      </c>
      <c r="G9" s="57" t="s">
        <v>872</v>
      </c>
      <c r="H9" s="57" t="s">
        <v>871</v>
      </c>
      <c r="I9" s="57" t="s">
        <v>870</v>
      </c>
      <c r="J9" s="57" t="s">
        <v>869</v>
      </c>
      <c r="K9" s="57" t="s">
        <v>868</v>
      </c>
      <c r="L9" s="57" t="s">
        <v>867</v>
      </c>
    </row>
    <row r="10" spans="1:12">
      <c r="A10">
        <v>9</v>
      </c>
      <c r="B10" s="20">
        <v>151</v>
      </c>
      <c r="C10" s="57" t="s">
        <v>866</v>
      </c>
      <c r="D10" s="57" t="s">
        <v>865</v>
      </c>
      <c r="E10" s="57" t="s">
        <v>864</v>
      </c>
      <c r="F10" s="57" t="s">
        <v>863</v>
      </c>
      <c r="G10" s="57" t="s">
        <v>862</v>
      </c>
      <c r="H10" s="57" t="s">
        <v>861</v>
      </c>
      <c r="I10" s="57" t="s">
        <v>860</v>
      </c>
      <c r="J10" s="57" t="s">
        <v>859</v>
      </c>
      <c r="K10" s="57" t="s">
        <v>858</v>
      </c>
      <c r="L10" s="57" t="s">
        <v>857</v>
      </c>
    </row>
    <row r="11" spans="1:12">
      <c r="A11">
        <v>10</v>
      </c>
      <c r="B11" s="20">
        <v>158</v>
      </c>
      <c r="C11" s="57" t="s">
        <v>856</v>
      </c>
      <c r="D11" s="39" t="s">
        <v>7</v>
      </c>
      <c r="E11" s="57" t="s">
        <v>855</v>
      </c>
      <c r="F11" s="57" t="s">
        <v>854</v>
      </c>
      <c r="G11" s="57" t="s">
        <v>853</v>
      </c>
      <c r="H11" s="39" t="s">
        <v>7</v>
      </c>
      <c r="I11" s="57" t="s">
        <v>852</v>
      </c>
      <c r="J11" s="57" t="s">
        <v>851</v>
      </c>
      <c r="K11" s="39" t="s">
        <v>7</v>
      </c>
      <c r="L11" s="39" t="s">
        <v>7</v>
      </c>
    </row>
    <row r="12" spans="1:12">
      <c r="A12">
        <v>11</v>
      </c>
      <c r="B12" s="20">
        <v>161</v>
      </c>
      <c r="C12" s="57" t="s">
        <v>850</v>
      </c>
      <c r="D12" s="57" t="s">
        <v>849</v>
      </c>
      <c r="E12" s="57" t="s">
        <v>848</v>
      </c>
      <c r="F12" s="57" t="s">
        <v>847</v>
      </c>
      <c r="G12" s="57" t="s">
        <v>846</v>
      </c>
      <c r="H12" s="57" t="s">
        <v>845</v>
      </c>
      <c r="I12" s="57" t="s">
        <v>844</v>
      </c>
      <c r="J12" s="57" t="s">
        <v>843</v>
      </c>
      <c r="K12" s="57" t="s">
        <v>842</v>
      </c>
      <c r="L12" s="57" t="s">
        <v>841</v>
      </c>
    </row>
    <row r="13" spans="1:12">
      <c r="A13">
        <v>12</v>
      </c>
      <c r="B13" s="20">
        <v>163</v>
      </c>
      <c r="C13" s="57" t="s">
        <v>840</v>
      </c>
      <c r="D13" s="57" t="s">
        <v>839</v>
      </c>
      <c r="E13" s="57" t="s">
        <v>838</v>
      </c>
      <c r="F13" s="57" t="s">
        <v>837</v>
      </c>
      <c r="G13" s="57" t="s">
        <v>836</v>
      </c>
      <c r="H13" s="57" t="s">
        <v>835</v>
      </c>
      <c r="I13" s="57" t="s">
        <v>834</v>
      </c>
      <c r="J13" s="57" t="s">
        <v>833</v>
      </c>
      <c r="K13" s="57" t="s">
        <v>832</v>
      </c>
      <c r="L13" s="57" t="s">
        <v>831</v>
      </c>
    </row>
    <row r="14" spans="1:12">
      <c r="A14">
        <v>13</v>
      </c>
      <c r="B14" s="20">
        <v>180</v>
      </c>
      <c r="C14" s="57" t="s">
        <v>830</v>
      </c>
      <c r="D14" s="57" t="s">
        <v>829</v>
      </c>
      <c r="E14" s="57" t="s">
        <v>828</v>
      </c>
      <c r="F14" s="57" t="s">
        <v>827</v>
      </c>
      <c r="G14" s="57" t="s">
        <v>826</v>
      </c>
      <c r="H14" s="57" t="s">
        <v>825</v>
      </c>
      <c r="I14" s="57" t="s">
        <v>824</v>
      </c>
      <c r="J14" s="57" t="s">
        <v>823</v>
      </c>
      <c r="K14" s="57" t="s">
        <v>822</v>
      </c>
      <c r="L14" s="57" t="s">
        <v>821</v>
      </c>
    </row>
    <row r="15" spans="1:12">
      <c r="A15">
        <v>14</v>
      </c>
      <c r="B15" s="20">
        <v>174</v>
      </c>
      <c r="C15" s="39" t="s">
        <v>7</v>
      </c>
      <c r="D15" s="39" t="s">
        <v>7</v>
      </c>
      <c r="E15" s="39" t="s">
        <v>7</v>
      </c>
      <c r="F15" s="39" t="s">
        <v>7</v>
      </c>
      <c r="G15" s="39" t="s">
        <v>7</v>
      </c>
      <c r="H15" s="39" t="s">
        <v>7</v>
      </c>
      <c r="I15" s="39" t="s">
        <v>7</v>
      </c>
      <c r="J15" s="39" t="s">
        <v>7</v>
      </c>
      <c r="K15" s="39" t="s">
        <v>7</v>
      </c>
      <c r="L15" s="39" t="s">
        <v>7</v>
      </c>
    </row>
    <row r="16" spans="1:12">
      <c r="A16">
        <v>15</v>
      </c>
      <c r="B16" s="20">
        <v>189</v>
      </c>
      <c r="C16" s="57" t="s">
        <v>820</v>
      </c>
      <c r="D16" s="57" t="s">
        <v>620</v>
      </c>
      <c r="E16" s="57" t="s">
        <v>819</v>
      </c>
      <c r="F16" s="57" t="s">
        <v>818</v>
      </c>
      <c r="G16" s="57" t="s">
        <v>817</v>
      </c>
      <c r="H16" s="57" t="s">
        <v>816</v>
      </c>
      <c r="I16" s="57" t="s">
        <v>815</v>
      </c>
      <c r="J16" s="57" t="s">
        <v>620</v>
      </c>
      <c r="K16" s="57" t="s">
        <v>766</v>
      </c>
      <c r="L16" s="57" t="s">
        <v>814</v>
      </c>
    </row>
    <row r="17" spans="1:12">
      <c r="A17">
        <v>16</v>
      </c>
      <c r="B17" s="20">
        <v>168</v>
      </c>
      <c r="C17" s="57" t="s">
        <v>813</v>
      </c>
      <c r="D17" s="57" t="s">
        <v>812</v>
      </c>
      <c r="E17" s="57" t="s">
        <v>811</v>
      </c>
      <c r="F17" s="57" t="s">
        <v>810</v>
      </c>
      <c r="G17" s="57" t="s">
        <v>809</v>
      </c>
      <c r="H17" s="57" t="s">
        <v>808</v>
      </c>
      <c r="I17" s="57" t="s">
        <v>807</v>
      </c>
      <c r="J17" s="57" t="s">
        <v>806</v>
      </c>
      <c r="K17" s="57" t="s">
        <v>805</v>
      </c>
      <c r="L17" s="57" t="s">
        <v>804</v>
      </c>
    </row>
    <row r="18" spans="1:12">
      <c r="A18">
        <v>17</v>
      </c>
      <c r="B18" s="20">
        <v>182</v>
      </c>
      <c r="C18" s="57" t="s">
        <v>803</v>
      </c>
      <c r="D18" s="57" t="s">
        <v>802</v>
      </c>
      <c r="E18" s="57" t="s">
        <v>801</v>
      </c>
      <c r="F18" s="57" t="s">
        <v>800</v>
      </c>
      <c r="G18" s="57" t="s">
        <v>799</v>
      </c>
      <c r="H18" s="57" t="s">
        <v>798</v>
      </c>
      <c r="I18" s="57" t="s">
        <v>797</v>
      </c>
      <c r="J18" s="57" t="s">
        <v>796</v>
      </c>
      <c r="K18" s="57" t="s">
        <v>795</v>
      </c>
      <c r="L18" s="57" t="s">
        <v>794</v>
      </c>
    </row>
    <row r="19" spans="1:12">
      <c r="A19">
        <v>18</v>
      </c>
      <c r="B19" s="20">
        <v>162</v>
      </c>
      <c r="C19" s="57" t="s">
        <v>793</v>
      </c>
      <c r="D19" s="57" t="s">
        <v>792</v>
      </c>
      <c r="E19" s="57" t="s">
        <v>791</v>
      </c>
      <c r="F19" s="57" t="s">
        <v>790</v>
      </c>
      <c r="G19" s="57" t="s">
        <v>789</v>
      </c>
      <c r="H19" s="57" t="s">
        <v>788</v>
      </c>
      <c r="I19" s="57" t="s">
        <v>787</v>
      </c>
      <c r="J19" s="39" t="s">
        <v>7</v>
      </c>
      <c r="K19" s="57" t="s">
        <v>786</v>
      </c>
      <c r="L19" s="39" t="s">
        <v>7</v>
      </c>
    </row>
    <row r="20" spans="1:12">
      <c r="A20">
        <v>19</v>
      </c>
      <c r="B20" s="20">
        <v>184</v>
      </c>
      <c r="C20" s="57" t="s">
        <v>785</v>
      </c>
      <c r="D20" s="57" t="s">
        <v>784</v>
      </c>
      <c r="E20" s="57" t="s">
        <v>783</v>
      </c>
      <c r="F20" s="57" t="s">
        <v>782</v>
      </c>
      <c r="G20" s="57" t="s">
        <v>781</v>
      </c>
      <c r="H20" s="57" t="s">
        <v>780</v>
      </c>
      <c r="I20" s="57" t="s">
        <v>779</v>
      </c>
      <c r="J20" s="57" t="s">
        <v>778</v>
      </c>
      <c r="K20" s="57" t="s">
        <v>777</v>
      </c>
      <c r="L20" s="57" t="s">
        <v>776</v>
      </c>
    </row>
    <row r="21" spans="1:12">
      <c r="A21">
        <v>20</v>
      </c>
      <c r="B21" s="20">
        <v>165</v>
      </c>
      <c r="C21" s="57" t="s">
        <v>775</v>
      </c>
      <c r="D21" s="57" t="s">
        <v>774</v>
      </c>
      <c r="E21" s="57" t="s">
        <v>773</v>
      </c>
      <c r="F21" s="57" t="s">
        <v>772</v>
      </c>
      <c r="G21" s="57" t="s">
        <v>771</v>
      </c>
      <c r="H21" s="57" t="s">
        <v>770</v>
      </c>
      <c r="I21" s="57" t="s">
        <v>769</v>
      </c>
      <c r="J21" s="57" t="s">
        <v>768</v>
      </c>
      <c r="K21" s="57" t="s">
        <v>767</v>
      </c>
      <c r="L21" s="57" t="s">
        <v>766</v>
      </c>
    </row>
    <row r="22" spans="1:12">
      <c r="A22">
        <v>21</v>
      </c>
      <c r="B22" s="20">
        <v>181</v>
      </c>
      <c r="C22" s="57" t="s">
        <v>765</v>
      </c>
      <c r="D22" s="57" t="s">
        <v>764</v>
      </c>
      <c r="E22" s="57" t="s">
        <v>763</v>
      </c>
      <c r="F22" s="57" t="s">
        <v>762</v>
      </c>
      <c r="G22" s="57" t="s">
        <v>761</v>
      </c>
      <c r="H22" s="57" t="s">
        <v>760</v>
      </c>
      <c r="I22" s="57" t="s">
        <v>759</v>
      </c>
      <c r="J22" s="57" t="s">
        <v>758</v>
      </c>
      <c r="K22" s="57" t="s">
        <v>757</v>
      </c>
      <c r="L22" s="57" t="s">
        <v>756</v>
      </c>
    </row>
    <row r="23" spans="1:12">
      <c r="A23">
        <v>22</v>
      </c>
      <c r="B23" s="20">
        <v>164</v>
      </c>
      <c r="C23" s="57" t="s">
        <v>755</v>
      </c>
      <c r="D23" s="57" t="s">
        <v>754</v>
      </c>
      <c r="E23" s="57" t="s">
        <v>753</v>
      </c>
      <c r="F23" s="57" t="s">
        <v>752</v>
      </c>
      <c r="G23" s="57" t="s">
        <v>751</v>
      </c>
      <c r="H23" s="57" t="s">
        <v>750</v>
      </c>
      <c r="I23" s="57" t="s">
        <v>749</v>
      </c>
      <c r="J23" s="57" t="s">
        <v>748</v>
      </c>
      <c r="K23" s="57" t="s">
        <v>747</v>
      </c>
      <c r="L23" s="57" t="s">
        <v>746</v>
      </c>
    </row>
    <row r="24" spans="1:12">
      <c r="A24">
        <v>23</v>
      </c>
      <c r="B24" s="20">
        <v>159</v>
      </c>
      <c r="C24" s="57" t="s">
        <v>745</v>
      </c>
      <c r="D24" s="57" t="s">
        <v>744</v>
      </c>
      <c r="E24" s="57" t="s">
        <v>743</v>
      </c>
      <c r="F24" s="57" t="s">
        <v>742</v>
      </c>
      <c r="G24" s="57" t="s">
        <v>741</v>
      </c>
      <c r="H24" s="57" t="s">
        <v>740</v>
      </c>
      <c r="I24" s="57" t="s">
        <v>739</v>
      </c>
      <c r="J24" s="57" t="s">
        <v>738</v>
      </c>
      <c r="K24" s="57" t="s">
        <v>737</v>
      </c>
      <c r="L24" s="57" t="s">
        <v>736</v>
      </c>
    </row>
    <row r="25" spans="1:12">
      <c r="A25">
        <v>24</v>
      </c>
      <c r="B25" s="20">
        <v>150</v>
      </c>
      <c r="C25" s="57" t="s">
        <v>735</v>
      </c>
      <c r="D25" s="57" t="s">
        <v>734</v>
      </c>
      <c r="E25" s="57" t="s">
        <v>733</v>
      </c>
      <c r="F25" s="57" t="s">
        <v>732</v>
      </c>
      <c r="G25" s="57" t="s">
        <v>731</v>
      </c>
      <c r="H25" s="57" t="s">
        <v>730</v>
      </c>
      <c r="I25" s="57" t="s">
        <v>729</v>
      </c>
      <c r="J25" s="57" t="s">
        <v>728</v>
      </c>
      <c r="K25" s="57" t="s">
        <v>727</v>
      </c>
      <c r="L25" s="57" t="s">
        <v>726</v>
      </c>
    </row>
    <row r="26" spans="1:12">
      <c r="A26">
        <v>25</v>
      </c>
      <c r="B26" s="20">
        <v>176</v>
      </c>
      <c r="C26" s="57" t="s">
        <v>725</v>
      </c>
      <c r="D26" s="57" t="s">
        <v>724</v>
      </c>
      <c r="E26" s="57" t="s">
        <v>723</v>
      </c>
      <c r="F26" s="57" t="s">
        <v>722</v>
      </c>
      <c r="G26" s="39" t="s">
        <v>7</v>
      </c>
      <c r="H26" s="57" t="s">
        <v>721</v>
      </c>
      <c r="I26" s="57" t="s">
        <v>720</v>
      </c>
      <c r="J26" s="57" t="s">
        <v>701</v>
      </c>
      <c r="K26" s="57" t="s">
        <v>664</v>
      </c>
      <c r="L26" s="57" t="s">
        <v>719</v>
      </c>
    </row>
    <row r="27" spans="1:12">
      <c r="A27">
        <v>26</v>
      </c>
      <c r="B27" s="20">
        <v>171</v>
      </c>
      <c r="C27" s="57" t="s">
        <v>718</v>
      </c>
      <c r="D27" s="57" t="s">
        <v>717</v>
      </c>
      <c r="E27" s="57" t="s">
        <v>716</v>
      </c>
      <c r="F27" s="57" t="s">
        <v>715</v>
      </c>
      <c r="G27" s="57" t="s">
        <v>714</v>
      </c>
      <c r="H27" s="57" t="s">
        <v>713</v>
      </c>
      <c r="I27" s="57" t="s">
        <v>712</v>
      </c>
      <c r="J27" s="57" t="s">
        <v>711</v>
      </c>
      <c r="K27" s="57" t="s">
        <v>710</v>
      </c>
      <c r="L27" s="57" t="s">
        <v>709</v>
      </c>
    </row>
    <row r="28" spans="1:12">
      <c r="A28">
        <v>27</v>
      </c>
      <c r="B28" s="20">
        <v>156</v>
      </c>
      <c r="C28" s="57" t="s">
        <v>708</v>
      </c>
      <c r="D28" s="57" t="s">
        <v>707</v>
      </c>
      <c r="E28" s="57" t="s">
        <v>706</v>
      </c>
      <c r="F28" s="57" t="s">
        <v>705</v>
      </c>
      <c r="G28" s="57" t="s">
        <v>704</v>
      </c>
      <c r="H28" s="57" t="s">
        <v>703</v>
      </c>
      <c r="I28" s="57" t="s">
        <v>702</v>
      </c>
      <c r="J28" s="57" t="s">
        <v>701</v>
      </c>
      <c r="K28" s="57" t="s">
        <v>700</v>
      </c>
      <c r="L28" s="57" t="s">
        <v>699</v>
      </c>
    </row>
    <row r="29" spans="1:12">
      <c r="A29">
        <v>28</v>
      </c>
      <c r="B29" s="20">
        <v>178</v>
      </c>
      <c r="C29" s="57" t="s">
        <v>698</v>
      </c>
      <c r="D29" s="57" t="s">
        <v>697</v>
      </c>
      <c r="E29" s="57" t="s">
        <v>696</v>
      </c>
      <c r="F29" s="57" t="s">
        <v>695</v>
      </c>
      <c r="G29" s="57" t="s">
        <v>694</v>
      </c>
      <c r="H29" s="57" t="s">
        <v>693</v>
      </c>
      <c r="I29" s="57" t="s">
        <v>692</v>
      </c>
      <c r="J29" s="57" t="s">
        <v>691</v>
      </c>
      <c r="K29" s="57" t="s">
        <v>690</v>
      </c>
      <c r="L29" s="57" t="s">
        <v>689</v>
      </c>
    </row>
    <row r="30" spans="1:12">
      <c r="A30">
        <v>29</v>
      </c>
      <c r="B30" s="20">
        <v>190</v>
      </c>
      <c r="C30" s="57" t="s">
        <v>688</v>
      </c>
      <c r="D30" s="57" t="s">
        <v>687</v>
      </c>
      <c r="E30" s="57" t="s">
        <v>686</v>
      </c>
      <c r="F30" s="57" t="s">
        <v>685</v>
      </c>
      <c r="G30" s="57" t="s">
        <v>684</v>
      </c>
      <c r="H30" s="57" t="s">
        <v>683</v>
      </c>
      <c r="I30" s="57" t="s">
        <v>682</v>
      </c>
      <c r="J30" s="57" t="s">
        <v>681</v>
      </c>
      <c r="K30" s="57" t="s">
        <v>680</v>
      </c>
      <c r="L30" s="57" t="s">
        <v>679</v>
      </c>
    </row>
    <row r="31" spans="1:12">
      <c r="A31">
        <v>30</v>
      </c>
      <c r="B31">
        <v>196</v>
      </c>
      <c r="C31" s="57" t="s">
        <v>678</v>
      </c>
      <c r="D31" s="57" t="s">
        <v>677</v>
      </c>
      <c r="E31" s="57" t="s">
        <v>676</v>
      </c>
      <c r="F31" s="57" t="s">
        <v>675</v>
      </c>
      <c r="G31" s="39" t="s">
        <v>7</v>
      </c>
      <c r="H31" s="57" t="s">
        <v>674</v>
      </c>
      <c r="I31" s="57" t="s">
        <v>673</v>
      </c>
      <c r="J31" s="39" t="s">
        <v>7</v>
      </c>
      <c r="K31" s="39" t="s">
        <v>7</v>
      </c>
      <c r="L31" s="57" t="s">
        <v>672</v>
      </c>
    </row>
    <row r="32" spans="1:12">
      <c r="A32">
        <v>31</v>
      </c>
      <c r="B32">
        <v>197</v>
      </c>
      <c r="C32" s="57" t="s">
        <v>671</v>
      </c>
      <c r="D32" s="57" t="s">
        <v>670</v>
      </c>
      <c r="E32" s="57" t="s">
        <v>669</v>
      </c>
      <c r="F32" s="57" t="s">
        <v>668</v>
      </c>
      <c r="G32" s="57" t="s">
        <v>664</v>
      </c>
      <c r="H32" s="57" t="s">
        <v>667</v>
      </c>
      <c r="I32" s="57" t="s">
        <v>666</v>
      </c>
      <c r="J32" s="57" t="s">
        <v>665</v>
      </c>
      <c r="K32" s="57" t="s">
        <v>664</v>
      </c>
      <c r="L32" s="39" t="s">
        <v>7</v>
      </c>
    </row>
    <row r="33" spans="1:12">
      <c r="A33">
        <v>32</v>
      </c>
      <c r="B33" s="20">
        <v>167</v>
      </c>
      <c r="C33" s="57" t="s">
        <v>663</v>
      </c>
      <c r="D33" s="57" t="s">
        <v>662</v>
      </c>
      <c r="E33" s="57" t="s">
        <v>661</v>
      </c>
      <c r="F33" s="57" t="s">
        <v>660</v>
      </c>
      <c r="G33" s="57" t="s">
        <v>659</v>
      </c>
      <c r="H33" s="57" t="s">
        <v>658</v>
      </c>
      <c r="I33" s="57" t="s">
        <v>657</v>
      </c>
      <c r="J33" s="57" t="s">
        <v>656</v>
      </c>
      <c r="K33" s="57" t="s">
        <v>655</v>
      </c>
      <c r="L33" s="57" t="s">
        <v>654</v>
      </c>
    </row>
    <row r="34" spans="1:12">
      <c r="A34">
        <v>33</v>
      </c>
      <c r="B34" s="20">
        <v>187</v>
      </c>
      <c r="C34" s="57" t="s">
        <v>653</v>
      </c>
      <c r="D34" s="57" t="s">
        <v>652</v>
      </c>
      <c r="E34" s="57" t="s">
        <v>651</v>
      </c>
      <c r="F34" s="39" t="s">
        <v>7</v>
      </c>
      <c r="G34" s="39" t="s">
        <v>7</v>
      </c>
      <c r="H34" s="57" t="s">
        <v>650</v>
      </c>
      <c r="I34" s="57" t="s">
        <v>649</v>
      </c>
      <c r="J34" s="39" t="s">
        <v>7</v>
      </c>
      <c r="K34" s="39" t="s">
        <v>7</v>
      </c>
      <c r="L34" s="57" t="s">
        <v>648</v>
      </c>
    </row>
    <row r="35" spans="1:12">
      <c r="A35">
        <v>34</v>
      </c>
      <c r="B35" s="20">
        <v>185</v>
      </c>
      <c r="C35" s="57" t="s">
        <v>647</v>
      </c>
      <c r="D35" s="57" t="s">
        <v>646</v>
      </c>
      <c r="E35" s="57" t="s">
        <v>645</v>
      </c>
      <c r="F35" s="57" t="s">
        <v>644</v>
      </c>
      <c r="G35" s="57" t="s">
        <v>643</v>
      </c>
      <c r="H35" s="57" t="s">
        <v>642</v>
      </c>
      <c r="I35" s="57" t="s">
        <v>641</v>
      </c>
      <c r="J35" s="57" t="s">
        <v>640</v>
      </c>
      <c r="K35" s="57" t="s">
        <v>639</v>
      </c>
      <c r="L35" s="57" t="s">
        <v>638</v>
      </c>
    </row>
    <row r="36" spans="1:12">
      <c r="A36">
        <v>35</v>
      </c>
      <c r="B36" s="20">
        <v>193</v>
      </c>
      <c r="C36" s="57" t="s">
        <v>637</v>
      </c>
      <c r="D36" s="57" t="s">
        <v>636</v>
      </c>
      <c r="E36" s="57" t="s">
        <v>635</v>
      </c>
      <c r="F36" s="57" t="s">
        <v>634</v>
      </c>
      <c r="G36" s="57" t="s">
        <v>633</v>
      </c>
      <c r="H36" s="57" t="s">
        <v>632</v>
      </c>
      <c r="I36" s="57" t="s">
        <v>631</v>
      </c>
      <c r="J36" s="57" t="s">
        <v>630</v>
      </c>
      <c r="K36" s="57" t="s">
        <v>629</v>
      </c>
      <c r="L36" s="57" t="s">
        <v>628</v>
      </c>
    </row>
    <row r="37" spans="1:12">
      <c r="A37">
        <v>36</v>
      </c>
      <c r="B37" s="20">
        <v>155</v>
      </c>
      <c r="C37" s="57" t="s">
        <v>627</v>
      </c>
      <c r="D37" s="57" t="s">
        <v>626</v>
      </c>
      <c r="E37" s="57" t="s">
        <v>625</v>
      </c>
      <c r="F37" s="57" t="s">
        <v>624</v>
      </c>
      <c r="G37" s="57" t="s">
        <v>623</v>
      </c>
      <c r="H37" s="57" t="s">
        <v>622</v>
      </c>
      <c r="I37" s="57" t="s">
        <v>621</v>
      </c>
      <c r="J37" s="57" t="s">
        <v>620</v>
      </c>
      <c r="K37" s="57" t="s">
        <v>619</v>
      </c>
      <c r="L37" s="57" t="s">
        <v>618</v>
      </c>
    </row>
    <row r="38" spans="1:12">
      <c r="A38">
        <v>37</v>
      </c>
      <c r="B38" s="20">
        <v>194</v>
      </c>
      <c r="C38" s="57" t="s">
        <v>617</v>
      </c>
      <c r="D38" s="57" t="s">
        <v>616</v>
      </c>
      <c r="E38" s="57" t="s">
        <v>615</v>
      </c>
      <c r="F38" s="57" t="s">
        <v>614</v>
      </c>
      <c r="G38" s="57" t="s">
        <v>613</v>
      </c>
      <c r="H38" s="57" t="s">
        <v>612</v>
      </c>
      <c r="I38" s="57" t="s">
        <v>611</v>
      </c>
      <c r="J38" s="57" t="s">
        <v>610</v>
      </c>
      <c r="K38" s="57" t="s">
        <v>609</v>
      </c>
      <c r="L38" s="57" t="s">
        <v>608</v>
      </c>
    </row>
    <row r="39" spans="1:12">
      <c r="A39">
        <v>38</v>
      </c>
      <c r="B39" s="20">
        <v>179</v>
      </c>
      <c r="C39" s="57" t="s">
        <v>607</v>
      </c>
      <c r="D39" s="57" t="s">
        <v>602</v>
      </c>
      <c r="E39" s="57" t="s">
        <v>607</v>
      </c>
      <c r="F39" s="57" t="s">
        <v>606</v>
      </c>
      <c r="G39" s="57" t="s">
        <v>605</v>
      </c>
      <c r="H39" s="57" t="s">
        <v>604</v>
      </c>
      <c r="I39" s="57" t="s">
        <v>603</v>
      </c>
      <c r="J39" s="57" t="s">
        <v>602</v>
      </c>
      <c r="K39" s="57" t="s">
        <v>601</v>
      </c>
      <c r="L39" s="57" t="s">
        <v>485</v>
      </c>
    </row>
    <row r="40" spans="1:12">
      <c r="A40">
        <v>39</v>
      </c>
      <c r="B40" s="20">
        <v>188</v>
      </c>
      <c r="C40" s="57" t="s">
        <v>600</v>
      </c>
      <c r="D40" s="57" t="s">
        <v>599</v>
      </c>
      <c r="E40" s="57" t="s">
        <v>598</v>
      </c>
      <c r="F40" s="57" t="s">
        <v>597</v>
      </c>
      <c r="G40" s="57" t="s">
        <v>596</v>
      </c>
      <c r="H40" s="57" t="s">
        <v>595</v>
      </c>
      <c r="I40" s="57" t="s">
        <v>594</v>
      </c>
      <c r="J40" s="57" t="s">
        <v>593</v>
      </c>
      <c r="K40" s="57" t="s">
        <v>592</v>
      </c>
      <c r="L40" s="57" t="s">
        <v>591</v>
      </c>
    </row>
    <row r="41" spans="1:12">
      <c r="A41">
        <v>40</v>
      </c>
      <c r="B41" s="20">
        <v>191</v>
      </c>
      <c r="C41" s="57" t="s">
        <v>590</v>
      </c>
      <c r="D41" s="39" t="s">
        <v>7</v>
      </c>
      <c r="E41" s="57" t="s">
        <v>589</v>
      </c>
      <c r="F41" s="57" t="s">
        <v>588</v>
      </c>
      <c r="G41" s="57" t="s">
        <v>587</v>
      </c>
      <c r="H41" s="57" t="s">
        <v>586</v>
      </c>
      <c r="I41" s="57" t="s">
        <v>585</v>
      </c>
      <c r="J41" s="57" t="s">
        <v>584</v>
      </c>
      <c r="K41" s="39" t="s">
        <v>7</v>
      </c>
      <c r="L41" s="57" t="s">
        <v>583</v>
      </c>
    </row>
    <row r="42" spans="1:12">
      <c r="A42">
        <v>41</v>
      </c>
      <c r="B42" s="20">
        <v>157</v>
      </c>
      <c r="C42" s="57" t="s">
        <v>582</v>
      </c>
      <c r="D42" s="57" t="s">
        <v>581</v>
      </c>
      <c r="E42" s="57" t="s">
        <v>580</v>
      </c>
      <c r="F42" s="57" t="s">
        <v>579</v>
      </c>
      <c r="G42" s="57" t="s">
        <v>578</v>
      </c>
      <c r="H42" s="57" t="s">
        <v>577</v>
      </c>
      <c r="I42" s="57" t="s">
        <v>576</v>
      </c>
      <c r="J42" s="57" t="s">
        <v>575</v>
      </c>
      <c r="K42" s="57" t="s">
        <v>574</v>
      </c>
      <c r="L42" s="57" t="s">
        <v>573</v>
      </c>
    </row>
  </sheetData>
  <conditionalFormatting sqref="C1:L1 B2:L3 B4:C4 E4:J4 B5:L10 B11:C11 E11:G11 I11:J11 B12:L14 B15 B16:L18 B19:I19 K19 B20:L25 B26:F26 H26:L26 B27:L30 B31:F31 H31:I31 L31 B32:K32 B33:L33 B34:E34 H34:I34 L34 B35:L40 B41:C41 E41:J41 L41 B42:L42">
    <cfRule type="containsBlanks" dxfId="32" priority="19">
      <formula>LEN(TRIM(B1))=0</formula>
    </cfRule>
  </conditionalFormatting>
  <conditionalFormatting sqref="C15:L15">
    <cfRule type="containsBlanks" dxfId="31" priority="15">
      <formula>LEN(TRIM(C15))=0</formula>
    </cfRule>
  </conditionalFormatting>
  <conditionalFormatting sqref="D4">
    <cfRule type="containsBlanks" dxfId="30" priority="18">
      <formula>LEN(TRIM(D4))=0</formula>
    </cfRule>
  </conditionalFormatting>
  <conditionalFormatting sqref="D11">
    <cfRule type="containsBlanks" dxfId="29" priority="17">
      <formula>LEN(TRIM(D11))=0</formula>
    </cfRule>
  </conditionalFormatting>
  <conditionalFormatting sqref="D41">
    <cfRule type="containsBlanks" dxfId="28" priority="1">
      <formula>LEN(TRIM(D41))=0</formula>
    </cfRule>
  </conditionalFormatting>
  <conditionalFormatting sqref="F34:G34">
    <cfRule type="containsBlanks" dxfId="27" priority="3">
      <formula>LEN(TRIM(F34))=0</formula>
    </cfRule>
  </conditionalFormatting>
  <conditionalFormatting sqref="G26">
    <cfRule type="containsBlanks" dxfId="26" priority="8">
      <formula>LEN(TRIM(G26))=0</formula>
    </cfRule>
  </conditionalFormatting>
  <conditionalFormatting sqref="G31">
    <cfRule type="containsBlanks" dxfId="25" priority="7">
      <formula>LEN(TRIM(G31))=0</formula>
    </cfRule>
  </conditionalFormatting>
  <conditionalFormatting sqref="H11">
    <cfRule type="containsBlanks" dxfId="24" priority="14">
      <formula>LEN(TRIM(H11))=0</formula>
    </cfRule>
  </conditionalFormatting>
  <conditionalFormatting sqref="J19">
    <cfRule type="containsBlanks" dxfId="23" priority="9">
      <formula>LEN(TRIM(J19))=0</formula>
    </cfRule>
  </conditionalFormatting>
  <conditionalFormatting sqref="J31:K31">
    <cfRule type="containsBlanks" dxfId="22" priority="6">
      <formula>LEN(TRIM(J31))=0</formula>
    </cfRule>
  </conditionalFormatting>
  <conditionalFormatting sqref="J34:K34">
    <cfRule type="containsBlanks" dxfId="21" priority="4">
      <formula>LEN(TRIM(J34))=0</formula>
    </cfRule>
  </conditionalFormatting>
  <conditionalFormatting sqref="K41">
    <cfRule type="containsBlanks" dxfId="20" priority="2">
      <formula>LEN(TRIM(K41))=0</formula>
    </cfRule>
  </conditionalFormatting>
  <conditionalFormatting sqref="K4:L4">
    <cfRule type="containsBlanks" dxfId="19" priority="11">
      <formula>LEN(TRIM(K4))=0</formula>
    </cfRule>
  </conditionalFormatting>
  <conditionalFormatting sqref="K11:L11">
    <cfRule type="containsBlanks" dxfId="18" priority="13">
      <formula>LEN(TRIM(K11))=0</formula>
    </cfRule>
  </conditionalFormatting>
  <conditionalFormatting sqref="L19">
    <cfRule type="containsBlanks" dxfId="17" priority="10">
      <formula>LEN(TRIM(L19))=0</formula>
    </cfRule>
  </conditionalFormatting>
  <conditionalFormatting sqref="L32">
    <cfRule type="containsBlanks" dxfId="16" priority="5">
      <formula>LEN(TRIM(L32))=0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D6213-A420-47DD-8673-262F39672CAB}">
  <sheetPr>
    <tabColor rgb="FF92D050"/>
  </sheetPr>
  <dimension ref="A1:G24"/>
  <sheetViews>
    <sheetView workbookViewId="0"/>
  </sheetViews>
  <sheetFormatPr defaultRowHeight="15"/>
  <sheetData>
    <row r="1" spans="1:7">
      <c r="A1" s="8" t="s">
        <v>1356</v>
      </c>
      <c r="B1" s="58" t="s">
        <v>1355</v>
      </c>
      <c r="C1" s="58" t="s">
        <v>1197</v>
      </c>
      <c r="D1" s="58" t="s">
        <v>1316</v>
      </c>
      <c r="E1" s="58" t="s">
        <v>1354</v>
      </c>
      <c r="F1" s="58" t="s">
        <v>1197</v>
      </c>
      <c r="G1" s="58" t="s">
        <v>1316</v>
      </c>
    </row>
    <row r="2" spans="1:7">
      <c r="A2" t="s">
        <v>1360</v>
      </c>
      <c r="B2" t="s">
        <v>514</v>
      </c>
      <c r="C2" t="s">
        <v>1255</v>
      </c>
      <c r="E2" t="s">
        <v>1195</v>
      </c>
      <c r="F2" t="s">
        <v>1192</v>
      </c>
    </row>
    <row r="3" spans="1:7">
      <c r="A3" t="s">
        <v>1360</v>
      </c>
      <c r="B3" t="s">
        <v>515</v>
      </c>
      <c r="C3" t="str">
        <f>"Based on what you have chose for characteristic 1, rate yourself on the following dimensions using a 1–5 scale. - "&amp;RIGHT(B3,LEN(B3)-(FIND("_",B3,8)))</f>
        <v>Based on what you have chose for characteristic 1, rate yourself on the following dimensions using a 1–5 scale. - confidence</v>
      </c>
      <c r="D3" t="s">
        <v>1259</v>
      </c>
      <c r="E3" t="s">
        <v>1021</v>
      </c>
      <c r="F3" t="s">
        <v>1258</v>
      </c>
      <c r="G3" t="s">
        <v>1259</v>
      </c>
    </row>
    <row r="4" spans="1:7">
      <c r="A4" t="s">
        <v>1360</v>
      </c>
      <c r="B4" t="s">
        <v>516</v>
      </c>
      <c r="C4" t="str">
        <f t="shared" ref="C4:C7" si="0">"Based on what you have chose for characteristic 1, rate yourself on the following dimensions using a 1–5 scale. - "&amp;RIGHT(B4,LEN(B4)-(FIND("_",B4,8)))</f>
        <v>Based on what you have chose for characteristic 1, rate yourself on the following dimensions using a 1–5 scale. - application</v>
      </c>
      <c r="D4" t="s">
        <v>1260</v>
      </c>
      <c r="E4" t="s">
        <v>1020</v>
      </c>
      <c r="F4" t="s">
        <v>1258</v>
      </c>
      <c r="G4" t="s">
        <v>1260</v>
      </c>
    </row>
    <row r="5" spans="1:7">
      <c r="A5" t="s">
        <v>1360</v>
      </c>
      <c r="B5" t="s">
        <v>517</v>
      </c>
      <c r="C5" t="str">
        <f t="shared" si="0"/>
        <v>Based on what you have chose for characteristic 1, rate yourself on the following dimensions using a 1–5 scale. - strength</v>
      </c>
      <c r="D5" t="s">
        <v>1261</v>
      </c>
      <c r="E5" t="s">
        <v>1019</v>
      </c>
      <c r="F5" t="s">
        <v>1258</v>
      </c>
      <c r="G5" t="s">
        <v>1261</v>
      </c>
    </row>
    <row r="6" spans="1:7">
      <c r="A6" t="s">
        <v>1360</v>
      </c>
      <c r="B6" t="s">
        <v>518</v>
      </c>
      <c r="C6" t="str">
        <f t="shared" si="0"/>
        <v>Based on what you have chose for characteristic 1, rate yourself on the following dimensions using a 1–5 scale. - alignment</v>
      </c>
      <c r="D6" t="s">
        <v>1262</v>
      </c>
      <c r="E6" t="s">
        <v>1018</v>
      </c>
      <c r="F6" t="s">
        <v>1258</v>
      </c>
      <c r="G6" t="s">
        <v>1262</v>
      </c>
    </row>
    <row r="7" spans="1:7">
      <c r="A7" t="s">
        <v>1360</v>
      </c>
      <c r="B7" t="s">
        <v>519</v>
      </c>
      <c r="C7" t="str">
        <f t="shared" si="0"/>
        <v>Based on what you have chose for characteristic 1, rate yourself on the following dimensions using a 1–5 scale. - motivation</v>
      </c>
      <c r="D7" t="s">
        <v>1263</v>
      </c>
      <c r="E7" t="s">
        <v>1017</v>
      </c>
      <c r="F7" t="s">
        <v>1258</v>
      </c>
      <c r="G7" t="s">
        <v>1263</v>
      </c>
    </row>
    <row r="8" spans="1:7">
      <c r="A8" t="s">
        <v>1360</v>
      </c>
      <c r="B8" t="s">
        <v>520</v>
      </c>
      <c r="C8" t="s">
        <v>1256</v>
      </c>
      <c r="E8" t="s">
        <v>371</v>
      </c>
      <c r="F8" t="s">
        <v>1191</v>
      </c>
    </row>
    <row r="9" spans="1:7">
      <c r="A9" t="s">
        <v>1360</v>
      </c>
      <c r="B9" t="s">
        <v>521</v>
      </c>
      <c r="C9" t="str">
        <f>"Based on what you have chose for characteristic 2, rate yourself on the following dimensions using a 1–5 scale. - "&amp;RIGHT(B9,LEN(B9)-(FIND("_",B9,8)))</f>
        <v>Based on what you have chose for characteristic 2, rate yourself on the following dimensions using a 1–5 scale. - confidence</v>
      </c>
      <c r="D9" t="s">
        <v>1259</v>
      </c>
      <c r="E9" t="s">
        <v>997</v>
      </c>
      <c r="F9" t="s">
        <v>1317</v>
      </c>
      <c r="G9" t="s">
        <v>1259</v>
      </c>
    </row>
    <row r="10" spans="1:7">
      <c r="A10" t="s">
        <v>1360</v>
      </c>
      <c r="B10" t="s">
        <v>522</v>
      </c>
      <c r="C10" t="str">
        <f t="shared" ref="C10:C13" si="1">"Based on what you have chose for characteristic 2, rate yourself on the following dimensions using a 1–5 scale. - "&amp;RIGHT(B10,LEN(B10)-(FIND("_",B10,8)))</f>
        <v>Based on what you have chose for characteristic 2, rate yourself on the following dimensions using a 1–5 scale. - application</v>
      </c>
      <c r="D10" t="s">
        <v>1260</v>
      </c>
      <c r="E10" t="s">
        <v>996</v>
      </c>
      <c r="F10" t="s">
        <v>1317</v>
      </c>
      <c r="G10" t="s">
        <v>1260</v>
      </c>
    </row>
    <row r="11" spans="1:7">
      <c r="A11" t="s">
        <v>1360</v>
      </c>
      <c r="B11" t="s">
        <v>523</v>
      </c>
      <c r="C11" t="str">
        <f t="shared" si="1"/>
        <v>Based on what you have chose for characteristic 2, rate yourself on the following dimensions using a 1–5 scale. - strength</v>
      </c>
      <c r="D11" t="s">
        <v>1261</v>
      </c>
      <c r="E11" t="s">
        <v>995</v>
      </c>
      <c r="F11" t="s">
        <v>1317</v>
      </c>
      <c r="G11" t="s">
        <v>1261</v>
      </c>
    </row>
    <row r="12" spans="1:7">
      <c r="A12" t="s">
        <v>1360</v>
      </c>
      <c r="B12" t="s">
        <v>524</v>
      </c>
      <c r="C12" t="str">
        <f t="shared" si="1"/>
        <v>Based on what you have chose for characteristic 2, rate yourself on the following dimensions using a 1–5 scale. - alignment</v>
      </c>
      <c r="D12" t="s">
        <v>1262</v>
      </c>
      <c r="E12" t="s">
        <v>994</v>
      </c>
      <c r="F12" t="s">
        <v>1317</v>
      </c>
      <c r="G12" t="s">
        <v>1262</v>
      </c>
    </row>
    <row r="13" spans="1:7">
      <c r="A13" t="s">
        <v>1360</v>
      </c>
      <c r="B13" t="s">
        <v>525</v>
      </c>
      <c r="C13" t="str">
        <f t="shared" si="1"/>
        <v>Based on what you have chose for characteristic 2, rate yourself on the following dimensions using a 1–5 scale. - motivation</v>
      </c>
      <c r="D13" t="s">
        <v>1263</v>
      </c>
      <c r="E13" t="s">
        <v>993</v>
      </c>
      <c r="F13" t="s">
        <v>1317</v>
      </c>
      <c r="G13" t="s">
        <v>1263</v>
      </c>
    </row>
    <row r="14" spans="1:7">
      <c r="A14" t="s">
        <v>1360</v>
      </c>
      <c r="B14" t="s">
        <v>526</v>
      </c>
      <c r="C14" t="s">
        <v>1257</v>
      </c>
      <c r="E14" t="s">
        <v>377</v>
      </c>
      <c r="F14" t="s">
        <v>1190</v>
      </c>
    </row>
    <row r="15" spans="1:7">
      <c r="A15" t="s">
        <v>1360</v>
      </c>
      <c r="B15" t="s">
        <v>527</v>
      </c>
      <c r="C15" t="str">
        <f>"Based on what you have chose for characteristic 3, rate yourself on the following dimensions using a 1–5 scale. - "&amp;RIGHT(B15,LEN(B15)-(FIND("_",B15,8)))</f>
        <v>Based on what you have chose for characteristic 3, rate yourself on the following dimensions using a 1–5 scale. - confidence</v>
      </c>
      <c r="D15" t="s">
        <v>1259</v>
      </c>
      <c r="E15" t="s">
        <v>979</v>
      </c>
      <c r="F15" t="s">
        <v>1318</v>
      </c>
      <c r="G15" t="s">
        <v>1259</v>
      </c>
    </row>
    <row r="16" spans="1:7">
      <c r="A16" t="s">
        <v>1360</v>
      </c>
      <c r="B16" t="s">
        <v>528</v>
      </c>
      <c r="C16" t="str">
        <f t="shared" ref="C16:C19" si="2">"Based on what you have chose for characteristic 3, rate yourself on the following dimensions using a 1–5 scale. - "&amp;RIGHT(B16,LEN(B16)-(FIND("_",B16,8)))</f>
        <v>Based on what you have chose for characteristic 3, rate yourself on the following dimensions using a 1–5 scale. - application</v>
      </c>
      <c r="D16" t="s">
        <v>1260</v>
      </c>
      <c r="E16" t="s">
        <v>978</v>
      </c>
      <c r="F16" t="s">
        <v>1318</v>
      </c>
      <c r="G16" t="s">
        <v>1260</v>
      </c>
    </row>
    <row r="17" spans="1:7">
      <c r="A17" t="s">
        <v>1360</v>
      </c>
      <c r="B17" t="s">
        <v>529</v>
      </c>
      <c r="C17" t="str">
        <f t="shared" si="2"/>
        <v>Based on what you have chose for characteristic 3, rate yourself on the following dimensions using a 1–5 scale. - strength</v>
      </c>
      <c r="D17" t="s">
        <v>1261</v>
      </c>
      <c r="E17" t="s">
        <v>977</v>
      </c>
      <c r="F17" t="s">
        <v>1318</v>
      </c>
      <c r="G17" t="s">
        <v>1261</v>
      </c>
    </row>
    <row r="18" spans="1:7">
      <c r="A18" t="s">
        <v>1360</v>
      </c>
      <c r="B18" t="s">
        <v>530</v>
      </c>
      <c r="C18" t="str">
        <f t="shared" si="2"/>
        <v>Based on what you have chose for characteristic 3, rate yourself on the following dimensions using a 1–5 scale. - alignment</v>
      </c>
      <c r="D18" t="s">
        <v>1262</v>
      </c>
      <c r="E18" t="s">
        <v>976</v>
      </c>
      <c r="F18" t="s">
        <v>1318</v>
      </c>
      <c r="G18" t="s">
        <v>1262</v>
      </c>
    </row>
    <row r="19" spans="1:7">
      <c r="A19" t="s">
        <v>1360</v>
      </c>
      <c r="B19" t="s">
        <v>531</v>
      </c>
      <c r="C19" t="str">
        <f t="shared" si="2"/>
        <v>Based on what you have chose for characteristic 3, rate yourself on the following dimensions using a 1–5 scale. - motivation</v>
      </c>
      <c r="D19" t="s">
        <v>1263</v>
      </c>
      <c r="E19" t="s">
        <v>975</v>
      </c>
      <c r="F19" t="s">
        <v>1318</v>
      </c>
      <c r="G19" t="s">
        <v>1263</v>
      </c>
    </row>
    <row r="20" spans="1:7">
      <c r="A20" t="s">
        <v>1345</v>
      </c>
      <c r="B20" s="35" t="s">
        <v>1344</v>
      </c>
      <c r="E20" t="s">
        <v>1194</v>
      </c>
      <c r="F20" t="s">
        <v>1189</v>
      </c>
    </row>
    <row r="21" spans="1:7">
      <c r="A21" t="s">
        <v>1345</v>
      </c>
      <c r="B21" s="35" t="s">
        <v>1344</v>
      </c>
      <c r="E21" t="s">
        <v>1193</v>
      </c>
      <c r="F21" t="s">
        <v>1188</v>
      </c>
    </row>
    <row r="22" spans="1:7">
      <c r="A22" t="s">
        <v>1345</v>
      </c>
      <c r="B22" s="35" t="s">
        <v>1344</v>
      </c>
      <c r="E22" t="s">
        <v>568</v>
      </c>
      <c r="F22" t="s">
        <v>1187</v>
      </c>
    </row>
    <row r="23" spans="1:7">
      <c r="A23" t="s">
        <v>1345</v>
      </c>
      <c r="B23" s="35" t="s">
        <v>1344</v>
      </c>
      <c r="E23" t="s">
        <v>567</v>
      </c>
      <c r="F23" t="s">
        <v>1186</v>
      </c>
    </row>
    <row r="24" spans="1:7">
      <c r="A24" t="s">
        <v>1345</v>
      </c>
      <c r="B24" s="35" t="s">
        <v>1344</v>
      </c>
      <c r="E24" t="s">
        <v>566</v>
      </c>
      <c r="F24" t="s">
        <v>1185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A1EA0-32C9-461D-BA81-1DE8F739DA62}">
  <sheetPr>
    <tabColor rgb="FFC00000"/>
  </sheetPr>
  <dimension ref="A1:C19"/>
  <sheetViews>
    <sheetView workbookViewId="0"/>
  </sheetViews>
  <sheetFormatPr defaultRowHeight="15"/>
  <cols>
    <col min="1" max="1" width="32" bestFit="1" customWidth="1"/>
    <col min="2" max="2" width="13.140625" bestFit="1" customWidth="1"/>
  </cols>
  <sheetData>
    <row r="1" spans="1:3" s="8" customFormat="1">
      <c r="A1" s="8" t="s">
        <v>1198</v>
      </c>
      <c r="B1" s="8" t="s">
        <v>1197</v>
      </c>
      <c r="C1" s="8" t="s">
        <v>1316</v>
      </c>
    </row>
    <row r="2" spans="1:3">
      <c r="A2" t="s">
        <v>514</v>
      </c>
      <c r="B2" t="s">
        <v>1255</v>
      </c>
    </row>
    <row r="3" spans="1:3">
      <c r="A3" t="s">
        <v>515</v>
      </c>
      <c r="B3" t="str">
        <f>"Based on what you have chose for characteristic 1, rate yourself on the following dimensions using a 1–5 scale. - "&amp;RIGHT(A3,LEN(A3)-(FIND("_",A3,8)))</f>
        <v>Based on what you have chose for characteristic 1, rate yourself on the following dimensions using a 1–5 scale. - confidence</v>
      </c>
      <c r="C3" t="s">
        <v>1259</v>
      </c>
    </row>
    <row r="4" spans="1:3">
      <c r="A4" t="s">
        <v>516</v>
      </c>
      <c r="B4" t="str">
        <f t="shared" ref="B4:B7" si="0">"Based on what you have chose for characteristic 1, rate yourself on the following dimensions using a 1–5 scale. - "&amp;RIGHT(A4,LEN(A4)-(FIND("_",A4,8)))</f>
        <v>Based on what you have chose for characteristic 1, rate yourself on the following dimensions using a 1–5 scale. - application</v>
      </c>
      <c r="C4" t="s">
        <v>1260</v>
      </c>
    </row>
    <row r="5" spans="1:3">
      <c r="A5" t="s">
        <v>517</v>
      </c>
      <c r="B5" t="str">
        <f t="shared" si="0"/>
        <v>Based on what you have chose for characteristic 1, rate yourself on the following dimensions using a 1–5 scale. - strength</v>
      </c>
      <c r="C5" t="s">
        <v>1261</v>
      </c>
    </row>
    <row r="6" spans="1:3">
      <c r="A6" t="s">
        <v>518</v>
      </c>
      <c r="B6" t="str">
        <f t="shared" si="0"/>
        <v>Based on what you have chose for characteristic 1, rate yourself on the following dimensions using a 1–5 scale. - alignment</v>
      </c>
      <c r="C6" t="s">
        <v>1262</v>
      </c>
    </row>
    <row r="7" spans="1:3">
      <c r="A7" t="s">
        <v>519</v>
      </c>
      <c r="B7" t="str">
        <f t="shared" si="0"/>
        <v>Based on what you have chose for characteristic 1, rate yourself on the following dimensions using a 1–5 scale. - motivation</v>
      </c>
      <c r="C7" t="s">
        <v>1263</v>
      </c>
    </row>
    <row r="8" spans="1:3">
      <c r="A8" t="s">
        <v>520</v>
      </c>
      <c r="B8" t="s">
        <v>1256</v>
      </c>
    </row>
    <row r="9" spans="1:3">
      <c r="A9" t="s">
        <v>521</v>
      </c>
      <c r="B9" t="str">
        <f>"Based on what you have chose for characteristic 2, rate yourself on the following dimensions using a 1–5 scale. - "&amp;RIGHT(A9,LEN(A9)-(FIND("_",A9,8)))</f>
        <v>Based on what you have chose for characteristic 2, rate yourself on the following dimensions using a 1–5 scale. - confidence</v>
      </c>
      <c r="C9" t="s">
        <v>1259</v>
      </c>
    </row>
    <row r="10" spans="1:3">
      <c r="A10" t="s">
        <v>522</v>
      </c>
      <c r="B10" t="str">
        <f t="shared" ref="B10:B13" si="1">"Based on what you have chose for characteristic 2, rate yourself on the following dimensions using a 1–5 scale. - "&amp;RIGHT(A10,LEN(A10)-(FIND("_",A10,8)))</f>
        <v>Based on what you have chose for characteristic 2, rate yourself on the following dimensions using a 1–5 scale. - application</v>
      </c>
      <c r="C10" t="s">
        <v>1260</v>
      </c>
    </row>
    <row r="11" spans="1:3">
      <c r="A11" t="s">
        <v>523</v>
      </c>
      <c r="B11" t="str">
        <f t="shared" si="1"/>
        <v>Based on what you have chose for characteristic 2, rate yourself on the following dimensions using a 1–5 scale. - strength</v>
      </c>
      <c r="C11" t="s">
        <v>1261</v>
      </c>
    </row>
    <row r="12" spans="1:3">
      <c r="A12" t="s">
        <v>524</v>
      </c>
      <c r="B12" t="str">
        <f t="shared" si="1"/>
        <v>Based on what you have chose for characteristic 2, rate yourself on the following dimensions using a 1–5 scale. - alignment</v>
      </c>
      <c r="C12" t="s">
        <v>1262</v>
      </c>
    </row>
    <row r="13" spans="1:3">
      <c r="A13" t="s">
        <v>525</v>
      </c>
      <c r="B13" t="str">
        <f t="shared" si="1"/>
        <v>Based on what you have chose for characteristic 2, rate yourself on the following dimensions using a 1–5 scale. - motivation</v>
      </c>
      <c r="C13" t="s">
        <v>1263</v>
      </c>
    </row>
    <row r="14" spans="1:3">
      <c r="A14" t="s">
        <v>526</v>
      </c>
      <c r="B14" t="s">
        <v>1257</v>
      </c>
    </row>
    <row r="15" spans="1:3">
      <c r="A15" t="s">
        <v>527</v>
      </c>
      <c r="B15" t="str">
        <f>"Based on what you have chose for characteristic 3, rate yourself on the following dimensions using a 1–5 scale. - "&amp;RIGHT(A15,LEN(A15)-(FIND("_",A15,8)))</f>
        <v>Based on what you have chose for characteristic 3, rate yourself on the following dimensions using a 1–5 scale. - confidence</v>
      </c>
      <c r="C15" t="s">
        <v>1259</v>
      </c>
    </row>
    <row r="16" spans="1:3">
      <c r="A16" t="s">
        <v>528</v>
      </c>
      <c r="B16" t="str">
        <f t="shared" ref="B16:B19" si="2">"Based on what you have chose for characteristic 3, rate yourself on the following dimensions using a 1–5 scale. - "&amp;RIGHT(A16,LEN(A16)-(FIND("_",A16,8)))</f>
        <v>Based on what you have chose for characteristic 3, rate yourself on the following dimensions using a 1–5 scale. - application</v>
      </c>
      <c r="C16" t="s">
        <v>1260</v>
      </c>
    </row>
    <row r="17" spans="1:3">
      <c r="A17" t="s">
        <v>529</v>
      </c>
      <c r="B17" t="str">
        <f t="shared" si="2"/>
        <v>Based on what you have chose for characteristic 3, rate yourself on the following dimensions using a 1–5 scale. - strength</v>
      </c>
      <c r="C17" t="s">
        <v>1261</v>
      </c>
    </row>
    <row r="18" spans="1:3">
      <c r="A18" t="s">
        <v>530</v>
      </c>
      <c r="B18" t="str">
        <f t="shared" si="2"/>
        <v>Based on what you have chose for characteristic 3, rate yourself on the following dimensions using a 1–5 scale. - alignment</v>
      </c>
      <c r="C18" t="s">
        <v>1262</v>
      </c>
    </row>
    <row r="19" spans="1:3">
      <c r="A19" t="s">
        <v>531</v>
      </c>
      <c r="B19" t="str">
        <f t="shared" si="2"/>
        <v>Based on what you have chose for characteristic 3, rate yourself on the following dimensions using a 1–5 scale. - motivation</v>
      </c>
      <c r="C19" t="s">
        <v>1263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B5FF3-D665-42A4-99FD-8FFA81FB24D1}">
  <dimension ref="A1:D25"/>
  <sheetViews>
    <sheetView workbookViewId="0"/>
  </sheetViews>
  <sheetFormatPr defaultRowHeight="15"/>
  <cols>
    <col min="2" max="2" width="37.42578125" customWidth="1"/>
    <col min="3" max="3" width="31.85546875" customWidth="1"/>
    <col min="4" max="4" width="36.5703125" customWidth="1"/>
  </cols>
  <sheetData>
    <row r="1" spans="1:4" ht="30">
      <c r="A1" s="13" t="s">
        <v>353</v>
      </c>
      <c r="B1" s="14" t="s">
        <v>354</v>
      </c>
      <c r="C1" s="14" t="s">
        <v>355</v>
      </c>
      <c r="D1" s="14" t="s">
        <v>356</v>
      </c>
    </row>
    <row r="2" spans="1:4" ht="75">
      <c r="A2" s="15"/>
      <c r="B2" s="4" t="s">
        <v>495</v>
      </c>
      <c r="C2" s="15" t="s">
        <v>496</v>
      </c>
      <c r="D2" s="16" t="s">
        <v>1320</v>
      </c>
    </row>
    <row r="3" spans="1:4">
      <c r="A3" s="15">
        <v>1</v>
      </c>
      <c r="B3" s="15" t="s">
        <v>497</v>
      </c>
      <c r="C3" s="15"/>
      <c r="D3" s="16"/>
    </row>
    <row r="4" spans="1:4">
      <c r="A4" s="15">
        <v>3</v>
      </c>
      <c r="B4" s="15" t="s">
        <v>498</v>
      </c>
      <c r="C4" s="15"/>
      <c r="D4" s="16"/>
    </row>
    <row r="5" spans="1:4">
      <c r="A5" s="15">
        <v>4</v>
      </c>
      <c r="B5" s="15" t="s">
        <v>499</v>
      </c>
      <c r="C5" s="15"/>
      <c r="D5" s="16"/>
    </row>
    <row r="6" spans="1:4">
      <c r="A6" s="15">
        <v>5</v>
      </c>
      <c r="B6" s="15" t="s">
        <v>500</v>
      </c>
      <c r="C6" s="15"/>
      <c r="D6" s="16"/>
    </row>
    <row r="7" spans="1:4">
      <c r="A7" s="15">
        <v>6</v>
      </c>
      <c r="B7" s="15" t="s">
        <v>501</v>
      </c>
      <c r="C7" s="15"/>
      <c r="D7" s="16"/>
    </row>
    <row r="8" spans="1:4">
      <c r="A8" s="15">
        <v>7</v>
      </c>
      <c r="B8" s="15" t="s">
        <v>1321</v>
      </c>
      <c r="C8" s="15"/>
      <c r="D8" s="16"/>
    </row>
    <row r="9" spans="1:4">
      <c r="A9" s="15">
        <v>8</v>
      </c>
      <c r="B9" s="15" t="s">
        <v>502</v>
      </c>
      <c r="C9" s="15"/>
      <c r="D9" s="16"/>
    </row>
    <row r="10" spans="1:4">
      <c r="A10" s="15">
        <v>9</v>
      </c>
      <c r="B10" s="15" t="s">
        <v>503</v>
      </c>
      <c r="C10" s="15"/>
      <c r="D10" s="16"/>
    </row>
    <row r="11" spans="1:4">
      <c r="A11" s="15">
        <v>10</v>
      </c>
      <c r="B11" s="15" t="s">
        <v>1322</v>
      </c>
      <c r="C11" s="15"/>
      <c r="D11" s="16"/>
    </row>
    <row r="12" spans="1:4">
      <c r="A12" s="15">
        <v>11</v>
      </c>
      <c r="B12" s="15" t="s">
        <v>504</v>
      </c>
      <c r="C12" s="15"/>
      <c r="D12" s="16"/>
    </row>
    <row r="13" spans="1:4">
      <c r="A13" s="15">
        <v>12</v>
      </c>
      <c r="B13" s="15" t="s">
        <v>505</v>
      </c>
      <c r="C13" s="15"/>
      <c r="D13" s="16"/>
    </row>
    <row r="14" spans="1:4">
      <c r="A14" s="15">
        <v>13</v>
      </c>
      <c r="B14" s="15" t="s">
        <v>506</v>
      </c>
      <c r="C14" s="15"/>
      <c r="D14" s="16"/>
    </row>
    <row r="15" spans="1:4">
      <c r="A15" s="15">
        <v>14</v>
      </c>
      <c r="B15" s="15" t="s">
        <v>507</v>
      </c>
      <c r="C15" s="15"/>
      <c r="D15" s="16"/>
    </row>
    <row r="16" spans="1:4">
      <c r="A16" s="15">
        <v>15</v>
      </c>
      <c r="B16" s="15" t="s">
        <v>508</v>
      </c>
      <c r="C16" s="15"/>
      <c r="D16" s="16"/>
    </row>
    <row r="17" spans="1:4">
      <c r="A17" s="15">
        <v>16</v>
      </c>
      <c r="B17" s="15" t="s">
        <v>509</v>
      </c>
      <c r="C17" s="15"/>
      <c r="D17" s="16"/>
    </row>
    <row r="18" spans="1:4">
      <c r="A18" s="15">
        <v>17</v>
      </c>
      <c r="B18" s="15" t="s">
        <v>1342</v>
      </c>
      <c r="C18" s="15"/>
      <c r="D18" s="16"/>
    </row>
    <row r="19" spans="1:4">
      <c r="A19" s="15"/>
      <c r="B19" s="15"/>
      <c r="C19" s="15"/>
      <c r="D19" s="16"/>
    </row>
    <row r="20" spans="1:4">
      <c r="A20" s="15"/>
      <c r="B20" s="17" t="s">
        <v>511</v>
      </c>
      <c r="C20" s="11" t="s">
        <v>364</v>
      </c>
      <c r="D20" s="16"/>
    </row>
    <row r="21" spans="1:4">
      <c r="A21" s="15">
        <v>1</v>
      </c>
      <c r="B21" s="15" t="s">
        <v>486</v>
      </c>
      <c r="C21" s="15"/>
      <c r="D21" s="16"/>
    </row>
    <row r="22" spans="1:4">
      <c r="A22" s="15">
        <v>2</v>
      </c>
      <c r="B22" s="15" t="s">
        <v>512</v>
      </c>
      <c r="C22" s="15"/>
      <c r="D22" s="16"/>
    </row>
    <row r="23" spans="1:4">
      <c r="A23" s="15">
        <v>3</v>
      </c>
      <c r="B23" s="15" t="s">
        <v>410</v>
      </c>
      <c r="C23" s="15"/>
      <c r="D23" s="16"/>
    </row>
    <row r="24" spans="1:4">
      <c r="A24" s="15">
        <v>4</v>
      </c>
      <c r="B24" s="15" t="s">
        <v>513</v>
      </c>
      <c r="C24" s="15"/>
      <c r="D24" s="16"/>
    </row>
    <row r="25" spans="1:4">
      <c r="A25" s="15">
        <v>5</v>
      </c>
      <c r="B25" s="15" t="s">
        <v>412</v>
      </c>
      <c r="C25" s="15"/>
      <c r="D25" s="1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01E2D-F59B-489A-9776-CB5505893837}">
  <dimension ref="A1:AM52"/>
  <sheetViews>
    <sheetView workbookViewId="0">
      <selection activeCell="R1" sqref="R1"/>
    </sheetView>
  </sheetViews>
  <sheetFormatPr defaultRowHeight="15"/>
  <cols>
    <col min="4" max="4" width="23.85546875" bestFit="1" customWidth="1"/>
  </cols>
  <sheetData>
    <row r="1" spans="1:39">
      <c r="A1" s="43" t="s">
        <v>1319</v>
      </c>
      <c r="B1" s="36" t="s">
        <v>1196</v>
      </c>
      <c r="C1" s="44" t="s">
        <v>1361</v>
      </c>
      <c r="D1" s="45" t="s">
        <v>514</v>
      </c>
      <c r="E1" s="44" t="s">
        <v>515</v>
      </c>
      <c r="F1" s="44" t="s">
        <v>516</v>
      </c>
      <c r="G1" s="44" t="s">
        <v>517</v>
      </c>
      <c r="H1" s="44" t="s">
        <v>518</v>
      </c>
      <c r="I1" s="44" t="s">
        <v>519</v>
      </c>
      <c r="J1" s="44" t="s">
        <v>1362</v>
      </c>
      <c r="K1" s="45" t="s">
        <v>520</v>
      </c>
      <c r="L1" s="44" t="s">
        <v>521</v>
      </c>
      <c r="M1" s="44" t="s">
        <v>522</v>
      </c>
      <c r="N1" s="44" t="s">
        <v>523</v>
      </c>
      <c r="O1" s="44" t="s">
        <v>524</v>
      </c>
      <c r="P1" s="44" t="s">
        <v>525</v>
      </c>
      <c r="Q1" s="44" t="s">
        <v>1363</v>
      </c>
      <c r="R1" s="45" t="s">
        <v>526</v>
      </c>
      <c r="S1" s="44" t="s">
        <v>527</v>
      </c>
      <c r="T1" s="44" t="s">
        <v>528</v>
      </c>
      <c r="U1" s="44" t="s">
        <v>529</v>
      </c>
      <c r="V1" s="44" t="s">
        <v>530</v>
      </c>
      <c r="W1" s="44" t="s">
        <v>531</v>
      </c>
      <c r="X1" s="15"/>
      <c r="Y1" s="15"/>
      <c r="Z1" s="15"/>
      <c r="AA1" s="15"/>
      <c r="AB1" s="15"/>
      <c r="AC1" s="15"/>
      <c r="AD1" s="15"/>
      <c r="AE1" s="15"/>
      <c r="AF1" s="15"/>
      <c r="AG1" s="15"/>
      <c r="AH1" s="15"/>
      <c r="AI1" s="15"/>
      <c r="AJ1" s="15"/>
      <c r="AK1" s="15"/>
      <c r="AL1" s="15"/>
      <c r="AM1" s="15"/>
    </row>
    <row r="2" spans="1:39">
      <c r="A2" s="41">
        <v>21</v>
      </c>
      <c r="B2" s="41">
        <v>150</v>
      </c>
      <c r="C2" s="19">
        <v>9</v>
      </c>
      <c r="D2" s="15" t="s">
        <v>503</v>
      </c>
      <c r="E2" s="41">
        <v>5</v>
      </c>
      <c r="F2" s="41">
        <v>5</v>
      </c>
      <c r="G2" s="41">
        <v>4</v>
      </c>
      <c r="H2" s="41">
        <v>5</v>
      </c>
      <c r="I2" s="41">
        <v>5</v>
      </c>
      <c r="J2" s="19">
        <v>13</v>
      </c>
      <c r="K2" s="15" t="s">
        <v>506</v>
      </c>
      <c r="L2" s="19">
        <v>5</v>
      </c>
      <c r="M2" s="19">
        <v>4</v>
      </c>
      <c r="N2" s="19">
        <v>5</v>
      </c>
      <c r="O2" s="19">
        <v>4</v>
      </c>
      <c r="P2" s="19">
        <v>5</v>
      </c>
      <c r="Q2" s="19">
        <v>7</v>
      </c>
      <c r="R2" s="15" t="s">
        <v>1321</v>
      </c>
      <c r="S2" s="19">
        <v>4</v>
      </c>
      <c r="T2" s="19">
        <v>4</v>
      </c>
      <c r="U2" s="19">
        <v>4</v>
      </c>
      <c r="V2" s="19">
        <v>5</v>
      </c>
      <c r="W2" s="19">
        <v>5</v>
      </c>
      <c r="X2" s="41"/>
      <c r="Y2" s="41"/>
      <c r="Z2" s="41"/>
      <c r="AA2" s="41"/>
      <c r="AB2" s="41"/>
      <c r="AC2" s="41"/>
      <c r="AD2" s="41"/>
      <c r="AE2" s="41"/>
      <c r="AF2" s="41"/>
      <c r="AG2" s="41"/>
      <c r="AH2" s="41"/>
      <c r="AI2" s="41"/>
      <c r="AJ2" s="41"/>
      <c r="AK2" s="41"/>
      <c r="AL2" s="41"/>
      <c r="AM2" s="41"/>
    </row>
    <row r="3" spans="1:39">
      <c r="A3" s="41">
        <v>7</v>
      </c>
      <c r="B3" s="41">
        <v>151</v>
      </c>
      <c r="C3" s="19">
        <v>8</v>
      </c>
      <c r="D3" s="15" t="s">
        <v>502</v>
      </c>
      <c r="E3" s="41">
        <v>3</v>
      </c>
      <c r="F3" s="41">
        <v>2</v>
      </c>
      <c r="G3" s="41">
        <v>2</v>
      </c>
      <c r="H3" s="41">
        <v>4</v>
      </c>
      <c r="I3" s="41">
        <v>4</v>
      </c>
      <c r="J3" s="19">
        <v>4</v>
      </c>
      <c r="K3" s="15" t="s">
        <v>499</v>
      </c>
      <c r="L3" s="19">
        <v>2</v>
      </c>
      <c r="M3" s="19">
        <v>2</v>
      </c>
      <c r="N3" s="19">
        <v>3</v>
      </c>
      <c r="O3" s="19">
        <v>4</v>
      </c>
      <c r="P3" s="19">
        <v>4</v>
      </c>
      <c r="Q3" s="19">
        <v>10</v>
      </c>
      <c r="R3" s="15" t="s">
        <v>1322</v>
      </c>
      <c r="S3" s="19">
        <v>3</v>
      </c>
      <c r="T3" s="19">
        <v>3</v>
      </c>
      <c r="U3" s="19">
        <v>2</v>
      </c>
      <c r="V3" s="19">
        <v>4</v>
      </c>
      <c r="W3" s="19">
        <v>4</v>
      </c>
      <c r="X3" s="41"/>
      <c r="Y3" s="41"/>
      <c r="Z3" s="41"/>
      <c r="AA3" s="41"/>
      <c r="AB3" s="41"/>
      <c r="AC3" s="41"/>
      <c r="AD3" s="41"/>
      <c r="AE3" s="41"/>
      <c r="AF3" s="41"/>
      <c r="AG3" s="41"/>
      <c r="AH3" s="41"/>
      <c r="AI3" s="41"/>
      <c r="AJ3" s="41"/>
      <c r="AK3" s="41"/>
      <c r="AL3" s="41"/>
      <c r="AM3" s="41"/>
    </row>
    <row r="4" spans="1:39">
      <c r="A4" s="41">
        <v>12</v>
      </c>
      <c r="B4" s="41">
        <v>152</v>
      </c>
      <c r="C4" s="19">
        <v>6</v>
      </c>
      <c r="D4" s="15" t="s">
        <v>501</v>
      </c>
      <c r="E4" s="41">
        <v>3</v>
      </c>
      <c r="F4" s="41">
        <v>4</v>
      </c>
      <c r="G4" s="41">
        <v>4</v>
      </c>
      <c r="H4" s="41">
        <v>5</v>
      </c>
      <c r="I4" s="41">
        <v>5</v>
      </c>
      <c r="J4" s="19">
        <v>10</v>
      </c>
      <c r="K4" s="15" t="s">
        <v>1322</v>
      </c>
      <c r="L4" s="19">
        <v>5</v>
      </c>
      <c r="M4" s="19">
        <v>5</v>
      </c>
      <c r="N4" s="19">
        <v>5</v>
      </c>
      <c r="O4" s="19">
        <v>5</v>
      </c>
      <c r="P4" s="19">
        <v>5</v>
      </c>
      <c r="Q4" s="19">
        <v>9</v>
      </c>
      <c r="R4" s="15" t="s">
        <v>503</v>
      </c>
      <c r="S4" s="19">
        <v>5</v>
      </c>
      <c r="T4" s="19">
        <v>3</v>
      </c>
      <c r="U4" s="19">
        <v>2</v>
      </c>
      <c r="V4" s="19">
        <v>5</v>
      </c>
      <c r="W4" s="19">
        <v>5</v>
      </c>
      <c r="X4" s="41"/>
      <c r="Y4" s="41"/>
      <c r="Z4" s="41"/>
      <c r="AA4" s="41"/>
      <c r="AB4" s="41"/>
      <c r="AC4" s="41"/>
      <c r="AD4" s="41"/>
      <c r="AE4" s="41"/>
      <c r="AF4" s="41"/>
      <c r="AG4" s="41"/>
      <c r="AH4" s="41"/>
      <c r="AI4" s="41"/>
      <c r="AJ4" s="41"/>
      <c r="AK4" s="41"/>
      <c r="AL4" s="41"/>
      <c r="AM4" s="41"/>
    </row>
    <row r="5" spans="1:39">
      <c r="A5" s="41">
        <v>5</v>
      </c>
      <c r="B5" s="41">
        <v>154</v>
      </c>
      <c r="C5" s="19">
        <v>1</v>
      </c>
      <c r="D5" s="15" t="s">
        <v>497</v>
      </c>
      <c r="E5" s="41">
        <v>4</v>
      </c>
      <c r="F5" s="41">
        <v>4</v>
      </c>
      <c r="G5" s="41">
        <v>3</v>
      </c>
      <c r="H5" s="41">
        <v>4</v>
      </c>
      <c r="I5" s="41">
        <v>5</v>
      </c>
      <c r="J5" s="19">
        <v>3</v>
      </c>
      <c r="K5" s="15" t="s">
        <v>498</v>
      </c>
      <c r="L5" s="19">
        <v>2</v>
      </c>
      <c r="M5" s="19">
        <v>2</v>
      </c>
      <c r="N5" s="19">
        <v>2</v>
      </c>
      <c r="O5" s="19">
        <v>4</v>
      </c>
      <c r="P5" s="19">
        <v>4</v>
      </c>
      <c r="Q5" s="19">
        <v>7</v>
      </c>
      <c r="R5" s="15" t="s">
        <v>1321</v>
      </c>
      <c r="S5" s="19">
        <v>3</v>
      </c>
      <c r="T5" s="19">
        <v>2</v>
      </c>
      <c r="U5" s="19">
        <v>3</v>
      </c>
      <c r="V5" s="19">
        <v>4</v>
      </c>
      <c r="W5" s="19">
        <v>4</v>
      </c>
      <c r="X5" s="41"/>
      <c r="Y5" s="41"/>
      <c r="Z5" s="41"/>
      <c r="AA5" s="41"/>
      <c r="AB5" s="41"/>
      <c r="AC5" s="41"/>
      <c r="AD5" s="41"/>
      <c r="AE5" s="41"/>
      <c r="AF5" s="41"/>
      <c r="AG5" s="41"/>
      <c r="AH5" s="41"/>
      <c r="AI5" s="41"/>
      <c r="AJ5" s="41"/>
      <c r="AK5" s="41"/>
      <c r="AL5" s="41"/>
      <c r="AM5" s="41"/>
    </row>
    <row r="6" spans="1:39">
      <c r="A6" s="41">
        <v>35</v>
      </c>
      <c r="B6" s="41">
        <v>155</v>
      </c>
      <c r="C6" s="19">
        <v>3</v>
      </c>
      <c r="D6" s="15" t="s">
        <v>498</v>
      </c>
      <c r="E6" s="41">
        <v>4</v>
      </c>
      <c r="F6" s="41">
        <v>3</v>
      </c>
      <c r="G6" s="41">
        <v>2</v>
      </c>
      <c r="H6" s="41">
        <v>4</v>
      </c>
      <c r="I6" s="41">
        <v>5</v>
      </c>
      <c r="J6" s="19">
        <v>7</v>
      </c>
      <c r="K6" s="15" t="s">
        <v>1321</v>
      </c>
      <c r="L6" s="19">
        <v>3</v>
      </c>
      <c r="M6" s="19">
        <v>3</v>
      </c>
      <c r="N6" s="19">
        <v>3</v>
      </c>
      <c r="O6" s="19">
        <v>5</v>
      </c>
      <c r="P6" s="19">
        <v>4</v>
      </c>
      <c r="Q6" s="19">
        <v>17</v>
      </c>
      <c r="R6" s="15" t="s">
        <v>510</v>
      </c>
      <c r="S6" s="19">
        <v>2</v>
      </c>
      <c r="T6" s="19">
        <v>2</v>
      </c>
      <c r="U6" s="19">
        <v>2</v>
      </c>
      <c r="V6" s="19">
        <v>4</v>
      </c>
      <c r="W6" s="19">
        <v>4</v>
      </c>
      <c r="X6" s="41"/>
      <c r="Y6" s="41"/>
      <c r="Z6" s="41"/>
      <c r="AA6" s="41"/>
      <c r="AB6" s="41"/>
      <c r="AC6" s="41"/>
      <c r="AD6" s="41"/>
      <c r="AE6" s="41"/>
      <c r="AF6" s="41"/>
      <c r="AG6" s="41"/>
      <c r="AH6" s="41"/>
      <c r="AI6" s="41"/>
      <c r="AJ6" s="41"/>
      <c r="AK6" s="41"/>
      <c r="AL6" s="41"/>
      <c r="AM6" s="41"/>
    </row>
    <row r="7" spans="1:39">
      <c r="A7" s="41">
        <v>24</v>
      </c>
      <c r="B7" s="41">
        <v>156</v>
      </c>
      <c r="C7" s="19">
        <v>4</v>
      </c>
      <c r="D7" s="15" t="s">
        <v>499</v>
      </c>
      <c r="E7" s="41">
        <v>3</v>
      </c>
      <c r="F7" s="41">
        <v>3</v>
      </c>
      <c r="G7" s="41">
        <v>4</v>
      </c>
      <c r="H7" s="41">
        <v>4</v>
      </c>
      <c r="I7" s="41">
        <v>4</v>
      </c>
      <c r="J7" s="19">
        <v>6</v>
      </c>
      <c r="K7" s="15" t="s">
        <v>501</v>
      </c>
      <c r="L7" s="19">
        <v>4</v>
      </c>
      <c r="M7" s="19">
        <v>3</v>
      </c>
      <c r="N7" s="19">
        <v>4</v>
      </c>
      <c r="O7" s="19">
        <v>5</v>
      </c>
      <c r="P7" s="19">
        <v>5</v>
      </c>
      <c r="Q7" s="19">
        <v>13</v>
      </c>
      <c r="R7" s="15" t="s">
        <v>506</v>
      </c>
      <c r="S7" s="19">
        <v>3</v>
      </c>
      <c r="T7" s="19">
        <v>4</v>
      </c>
      <c r="U7" s="19">
        <v>3</v>
      </c>
      <c r="V7" s="19">
        <v>4</v>
      </c>
      <c r="W7" s="19">
        <v>5</v>
      </c>
      <c r="X7" s="41"/>
      <c r="Y7" s="41"/>
      <c r="Z7" s="41"/>
      <c r="AA7" s="41"/>
      <c r="AB7" s="41"/>
      <c r="AC7" s="41"/>
      <c r="AD7" s="41"/>
      <c r="AE7" s="41"/>
      <c r="AF7" s="41"/>
      <c r="AG7" s="41"/>
      <c r="AH7" s="41"/>
      <c r="AI7" s="41"/>
      <c r="AJ7" s="41"/>
      <c r="AK7" s="41"/>
      <c r="AL7" s="41"/>
      <c r="AM7" s="41"/>
    </row>
    <row r="8" spans="1:39">
      <c r="A8" s="41">
        <v>38</v>
      </c>
      <c r="B8" s="41">
        <v>157</v>
      </c>
      <c r="C8" s="19">
        <v>4</v>
      </c>
      <c r="D8" s="15" t="s">
        <v>499</v>
      </c>
      <c r="E8" s="41">
        <v>3</v>
      </c>
      <c r="F8" s="41">
        <v>4</v>
      </c>
      <c r="G8" s="41">
        <v>2</v>
      </c>
      <c r="H8" s="41">
        <v>4</v>
      </c>
      <c r="I8" s="41">
        <v>5</v>
      </c>
      <c r="J8" s="19">
        <v>10</v>
      </c>
      <c r="K8" s="15" t="s">
        <v>1322</v>
      </c>
      <c r="L8" s="19">
        <v>4</v>
      </c>
      <c r="M8" s="19">
        <v>4</v>
      </c>
      <c r="N8" s="19">
        <v>3</v>
      </c>
      <c r="O8" s="19">
        <v>5</v>
      </c>
      <c r="P8" s="19">
        <v>5</v>
      </c>
      <c r="Q8" s="19">
        <v>11</v>
      </c>
      <c r="R8" s="15" t="s">
        <v>504</v>
      </c>
      <c r="S8" s="19">
        <v>4</v>
      </c>
      <c r="T8" s="19">
        <v>3</v>
      </c>
      <c r="U8" s="19">
        <v>2</v>
      </c>
      <c r="V8" s="19">
        <v>4</v>
      </c>
      <c r="W8" s="19">
        <v>5</v>
      </c>
      <c r="X8" s="41"/>
      <c r="Y8" s="41"/>
      <c r="Z8" s="41"/>
      <c r="AA8" s="41"/>
      <c r="AB8" s="41"/>
      <c r="AC8" s="41"/>
      <c r="AD8" s="41"/>
      <c r="AE8" s="41"/>
      <c r="AF8" s="41"/>
      <c r="AG8" s="41"/>
      <c r="AH8" s="41"/>
      <c r="AI8" s="41"/>
      <c r="AJ8" s="41"/>
      <c r="AK8" s="41"/>
      <c r="AL8" s="41"/>
      <c r="AM8" s="41"/>
    </row>
    <row r="9" spans="1:39">
      <c r="A9" s="41">
        <v>9</v>
      </c>
      <c r="B9" s="41">
        <v>158</v>
      </c>
      <c r="C9" s="19">
        <v>17</v>
      </c>
      <c r="D9" s="15" t="s">
        <v>510</v>
      </c>
      <c r="E9" s="41">
        <v>2</v>
      </c>
      <c r="F9" s="41">
        <v>2</v>
      </c>
      <c r="G9" s="41">
        <v>3</v>
      </c>
      <c r="H9" s="41">
        <v>5</v>
      </c>
      <c r="I9" s="41">
        <v>5</v>
      </c>
      <c r="J9" s="19">
        <v>8</v>
      </c>
      <c r="K9" s="15" t="s">
        <v>502</v>
      </c>
      <c r="L9" s="19">
        <v>4</v>
      </c>
      <c r="M9" s="19">
        <v>3</v>
      </c>
      <c r="N9" s="19">
        <v>3</v>
      </c>
      <c r="O9" s="19">
        <v>5</v>
      </c>
      <c r="P9" s="19">
        <v>5</v>
      </c>
      <c r="Q9" s="19">
        <v>6</v>
      </c>
      <c r="R9" s="15" t="s">
        <v>501</v>
      </c>
      <c r="S9" s="19">
        <v>5</v>
      </c>
      <c r="T9" s="19">
        <v>5</v>
      </c>
      <c r="U9" s="19">
        <v>4</v>
      </c>
      <c r="V9" s="19">
        <v>5</v>
      </c>
      <c r="W9" s="19">
        <v>5</v>
      </c>
      <c r="X9" s="41"/>
      <c r="Y9" s="41"/>
      <c r="Z9" s="41"/>
      <c r="AA9" s="41"/>
      <c r="AB9" s="41"/>
      <c r="AC9" s="41"/>
      <c r="AD9" s="41"/>
      <c r="AE9" s="41"/>
      <c r="AF9" s="41"/>
      <c r="AG9" s="41"/>
      <c r="AH9" s="41"/>
      <c r="AI9" s="41"/>
      <c r="AJ9" s="41"/>
      <c r="AK9" s="41"/>
      <c r="AL9" s="41"/>
      <c r="AM9" s="41"/>
    </row>
    <row r="10" spans="1:39">
      <c r="A10" s="41">
        <v>20</v>
      </c>
      <c r="B10" s="41">
        <v>159</v>
      </c>
      <c r="C10" s="19">
        <v>3</v>
      </c>
      <c r="D10" s="15" t="s">
        <v>498</v>
      </c>
      <c r="E10" s="41">
        <v>3</v>
      </c>
      <c r="F10" s="41">
        <v>2</v>
      </c>
      <c r="G10" s="41">
        <v>2</v>
      </c>
      <c r="H10" s="41">
        <v>4</v>
      </c>
      <c r="I10" s="41">
        <v>5</v>
      </c>
      <c r="J10" s="19">
        <v>7</v>
      </c>
      <c r="K10" s="15" t="s">
        <v>1321</v>
      </c>
      <c r="L10" s="19">
        <v>3</v>
      </c>
      <c r="M10" s="19">
        <v>2</v>
      </c>
      <c r="N10" s="19">
        <v>2</v>
      </c>
      <c r="O10" s="19">
        <v>5</v>
      </c>
      <c r="P10" s="19">
        <v>5</v>
      </c>
      <c r="Q10" s="19">
        <v>1</v>
      </c>
      <c r="R10" s="15" t="s">
        <v>497</v>
      </c>
      <c r="S10" s="19">
        <v>3</v>
      </c>
      <c r="T10" s="19">
        <v>2</v>
      </c>
      <c r="U10" s="19">
        <v>2</v>
      </c>
      <c r="V10" s="19">
        <v>5</v>
      </c>
      <c r="W10" s="19">
        <v>5</v>
      </c>
      <c r="X10" s="41"/>
      <c r="Y10" s="41"/>
      <c r="Z10" s="41"/>
      <c r="AA10" s="41"/>
      <c r="AB10" s="41"/>
      <c r="AC10" s="41"/>
      <c r="AD10" s="41"/>
      <c r="AE10" s="41"/>
      <c r="AF10" s="41"/>
      <c r="AG10" s="41"/>
      <c r="AH10" s="41"/>
      <c r="AI10" s="41"/>
      <c r="AJ10" s="41"/>
      <c r="AK10" s="41"/>
      <c r="AL10" s="41"/>
      <c r="AM10" s="41"/>
    </row>
    <row r="11" spans="1:39">
      <c r="A11" s="41">
        <v>22</v>
      </c>
      <c r="B11" s="41">
        <v>160</v>
      </c>
      <c r="C11" s="19">
        <v>13</v>
      </c>
      <c r="D11" s="15" t="s">
        <v>506</v>
      </c>
      <c r="E11" s="41">
        <v>4</v>
      </c>
      <c r="F11" s="41">
        <v>5</v>
      </c>
      <c r="G11" s="41">
        <v>4</v>
      </c>
      <c r="H11" s="41">
        <v>5</v>
      </c>
      <c r="I11" s="41">
        <v>5</v>
      </c>
      <c r="J11" s="19">
        <v>16</v>
      </c>
      <c r="K11" s="15" t="s">
        <v>509</v>
      </c>
      <c r="L11" s="19">
        <v>4</v>
      </c>
      <c r="M11" s="19">
        <v>4</v>
      </c>
      <c r="N11" s="19">
        <v>4</v>
      </c>
      <c r="O11" s="19">
        <v>5</v>
      </c>
      <c r="P11" s="19">
        <v>5</v>
      </c>
      <c r="Q11" s="19">
        <v>8</v>
      </c>
      <c r="R11" s="15" t="s">
        <v>502</v>
      </c>
      <c r="S11" s="19">
        <v>4</v>
      </c>
      <c r="T11" s="19">
        <v>4</v>
      </c>
      <c r="U11" s="19">
        <v>4</v>
      </c>
      <c r="V11" s="19">
        <v>5</v>
      </c>
      <c r="W11" s="19">
        <v>5</v>
      </c>
      <c r="X11" s="41"/>
      <c r="Y11" s="41"/>
      <c r="Z11" s="41"/>
      <c r="AA11" s="41"/>
      <c r="AB11" s="41"/>
      <c r="AC11" s="41"/>
      <c r="AD11" s="41"/>
      <c r="AE11" s="41"/>
      <c r="AF11" s="41"/>
      <c r="AG11" s="41"/>
      <c r="AH11" s="41"/>
      <c r="AI11" s="41"/>
      <c r="AJ11" s="41"/>
      <c r="AK11" s="41"/>
      <c r="AL11" s="41"/>
      <c r="AM11" s="41"/>
    </row>
    <row r="12" spans="1:39">
      <c r="A12" s="41">
        <v>10</v>
      </c>
      <c r="B12" s="41">
        <v>161</v>
      </c>
      <c r="C12" s="19">
        <v>1</v>
      </c>
      <c r="D12" s="15" t="s">
        <v>497</v>
      </c>
      <c r="E12" s="41">
        <v>4</v>
      </c>
      <c r="F12" s="41">
        <v>4</v>
      </c>
      <c r="G12" s="41">
        <v>4</v>
      </c>
      <c r="H12" s="41">
        <v>4</v>
      </c>
      <c r="I12" s="41">
        <v>4</v>
      </c>
      <c r="J12" s="19">
        <v>6</v>
      </c>
      <c r="K12" s="15" t="s">
        <v>501</v>
      </c>
      <c r="L12" s="19">
        <v>4</v>
      </c>
      <c r="M12" s="19">
        <v>4</v>
      </c>
      <c r="N12" s="19">
        <v>4</v>
      </c>
      <c r="O12" s="19">
        <v>4</v>
      </c>
      <c r="P12" s="19">
        <v>4</v>
      </c>
      <c r="Q12" s="19">
        <v>11</v>
      </c>
      <c r="R12" s="15" t="s">
        <v>504</v>
      </c>
      <c r="S12" s="19">
        <v>4</v>
      </c>
      <c r="T12" s="19">
        <v>4</v>
      </c>
      <c r="U12" s="19">
        <v>4</v>
      </c>
      <c r="V12" s="19">
        <v>4</v>
      </c>
      <c r="W12" s="19">
        <v>4</v>
      </c>
      <c r="X12" s="41"/>
      <c r="Y12" s="41"/>
      <c r="Z12" s="41"/>
      <c r="AA12" s="41"/>
      <c r="AB12" s="41"/>
      <c r="AC12" s="41"/>
      <c r="AD12" s="41"/>
      <c r="AE12" s="41"/>
      <c r="AF12" s="41"/>
      <c r="AG12" s="41"/>
      <c r="AH12" s="41"/>
      <c r="AI12" s="41"/>
      <c r="AJ12" s="41"/>
      <c r="AK12" s="41"/>
      <c r="AL12" s="41"/>
      <c r="AM12" s="41"/>
    </row>
    <row r="13" spans="1:39">
      <c r="A13" s="41">
        <v>17</v>
      </c>
      <c r="B13" s="41">
        <v>162</v>
      </c>
      <c r="C13" s="19">
        <v>11</v>
      </c>
      <c r="D13" s="15" t="s">
        <v>504</v>
      </c>
      <c r="E13" s="41">
        <v>4</v>
      </c>
      <c r="F13" s="41">
        <v>3</v>
      </c>
      <c r="G13" s="41">
        <v>3</v>
      </c>
      <c r="H13" s="41">
        <v>4</v>
      </c>
      <c r="I13" s="41">
        <v>5</v>
      </c>
      <c r="J13" s="19">
        <v>15</v>
      </c>
      <c r="K13" s="15" t="s">
        <v>508</v>
      </c>
      <c r="L13" s="19">
        <v>4</v>
      </c>
      <c r="M13" s="19">
        <v>2</v>
      </c>
      <c r="N13" s="19">
        <v>3</v>
      </c>
      <c r="O13" s="19">
        <v>4</v>
      </c>
      <c r="P13" s="19">
        <v>5</v>
      </c>
      <c r="Q13" s="19">
        <v>3</v>
      </c>
      <c r="R13" s="15" t="s">
        <v>498</v>
      </c>
      <c r="S13" s="19">
        <v>4</v>
      </c>
      <c r="T13" s="19">
        <v>4</v>
      </c>
      <c r="U13" s="19">
        <v>3</v>
      </c>
      <c r="V13" s="19">
        <v>4</v>
      </c>
      <c r="W13" s="19">
        <v>5</v>
      </c>
      <c r="X13" s="41"/>
      <c r="Y13" s="41"/>
      <c r="Z13" s="41"/>
      <c r="AA13" s="41"/>
      <c r="AB13" s="41"/>
      <c r="AC13" s="41"/>
      <c r="AD13" s="41"/>
      <c r="AE13" s="41"/>
      <c r="AF13" s="41"/>
      <c r="AG13" s="41"/>
      <c r="AH13" s="41"/>
      <c r="AI13" s="41"/>
      <c r="AJ13" s="41"/>
      <c r="AK13" s="41"/>
      <c r="AL13" s="41"/>
      <c r="AM13" s="41"/>
    </row>
    <row r="14" spans="1:39">
      <c r="A14" s="41">
        <v>11</v>
      </c>
      <c r="B14" s="41">
        <v>163</v>
      </c>
      <c r="C14" s="19">
        <v>3</v>
      </c>
      <c r="D14" s="15" t="s">
        <v>498</v>
      </c>
      <c r="E14" s="41">
        <v>4</v>
      </c>
      <c r="F14" s="41">
        <v>4</v>
      </c>
      <c r="G14" s="41">
        <v>3</v>
      </c>
      <c r="H14" s="41">
        <v>5</v>
      </c>
      <c r="I14" s="41">
        <v>5</v>
      </c>
      <c r="J14" s="19">
        <v>7</v>
      </c>
      <c r="K14" s="15" t="s">
        <v>1321</v>
      </c>
      <c r="L14" s="19">
        <v>4</v>
      </c>
      <c r="M14" s="19">
        <v>2</v>
      </c>
      <c r="N14" s="19">
        <v>3</v>
      </c>
      <c r="O14" s="19">
        <v>4</v>
      </c>
      <c r="P14" s="19">
        <v>5</v>
      </c>
      <c r="Q14" s="19">
        <v>17</v>
      </c>
      <c r="R14" s="15" t="s">
        <v>510</v>
      </c>
      <c r="S14" s="19">
        <v>3</v>
      </c>
      <c r="T14" s="19">
        <v>2</v>
      </c>
      <c r="U14" s="19">
        <v>2</v>
      </c>
      <c r="V14" s="19">
        <v>4</v>
      </c>
      <c r="W14" s="19">
        <v>5</v>
      </c>
      <c r="X14" s="41"/>
      <c r="Y14" s="41"/>
      <c r="Z14" s="41"/>
      <c r="AA14" s="41"/>
      <c r="AB14" s="41"/>
      <c r="AC14" s="41"/>
      <c r="AD14" s="41"/>
      <c r="AE14" s="41"/>
      <c r="AF14" s="41"/>
      <c r="AG14" s="41"/>
      <c r="AH14" s="41"/>
      <c r="AI14" s="41"/>
      <c r="AJ14" s="41"/>
      <c r="AK14" s="41"/>
      <c r="AL14" s="41"/>
      <c r="AM14" s="41"/>
    </row>
    <row r="15" spans="1:39">
      <c r="A15" s="41">
        <v>19</v>
      </c>
      <c r="B15" s="41">
        <v>165</v>
      </c>
      <c r="C15" s="19">
        <v>4</v>
      </c>
      <c r="D15" s="15" t="s">
        <v>499</v>
      </c>
      <c r="E15" s="41">
        <v>2</v>
      </c>
      <c r="F15" s="41">
        <v>4</v>
      </c>
      <c r="G15" s="41">
        <v>2</v>
      </c>
      <c r="H15" s="41">
        <v>5</v>
      </c>
      <c r="I15" s="41">
        <v>5</v>
      </c>
      <c r="J15" s="19">
        <v>3</v>
      </c>
      <c r="K15" s="15" t="s">
        <v>498</v>
      </c>
      <c r="L15" s="19">
        <v>5</v>
      </c>
      <c r="M15" s="19">
        <v>5</v>
      </c>
      <c r="N15" s="19">
        <v>5</v>
      </c>
      <c r="O15" s="19">
        <v>5</v>
      </c>
      <c r="P15" s="19">
        <v>5</v>
      </c>
      <c r="Q15" s="19">
        <v>14</v>
      </c>
      <c r="R15" s="15" t="s">
        <v>507</v>
      </c>
      <c r="S15" s="19">
        <v>2</v>
      </c>
      <c r="T15" s="19">
        <v>4</v>
      </c>
      <c r="U15" s="19">
        <v>4</v>
      </c>
      <c r="V15" s="19">
        <v>5</v>
      </c>
      <c r="W15" s="19">
        <v>5</v>
      </c>
      <c r="X15" s="41"/>
      <c r="Y15" s="41"/>
      <c r="Z15" s="41"/>
      <c r="AA15" s="41"/>
      <c r="AB15" s="41"/>
      <c r="AC15" s="41"/>
      <c r="AD15" s="41"/>
      <c r="AE15" s="41"/>
      <c r="AF15" s="41"/>
      <c r="AG15" s="41"/>
      <c r="AH15" s="41"/>
      <c r="AI15" s="41"/>
      <c r="AJ15" s="41"/>
      <c r="AK15" s="41"/>
      <c r="AL15" s="41"/>
      <c r="AM15" s="41"/>
    </row>
    <row r="16" spans="1:39">
      <c r="A16" s="41">
        <v>3</v>
      </c>
      <c r="B16" s="41">
        <v>166</v>
      </c>
      <c r="C16" s="19">
        <v>3</v>
      </c>
      <c r="D16" s="15" t="s">
        <v>498</v>
      </c>
      <c r="E16" s="41">
        <v>2</v>
      </c>
      <c r="F16" s="41">
        <v>2</v>
      </c>
      <c r="G16" s="41">
        <v>1</v>
      </c>
      <c r="H16" s="41">
        <v>4</v>
      </c>
      <c r="I16" s="41">
        <v>5</v>
      </c>
      <c r="J16" s="19">
        <v>7</v>
      </c>
      <c r="K16" s="15" t="s">
        <v>1321</v>
      </c>
      <c r="L16" s="19">
        <v>4</v>
      </c>
      <c r="M16" s="19">
        <v>4</v>
      </c>
      <c r="N16" s="19">
        <v>3</v>
      </c>
      <c r="O16" s="19">
        <v>5</v>
      </c>
      <c r="P16" s="19">
        <v>5</v>
      </c>
      <c r="Q16" s="19">
        <v>17</v>
      </c>
      <c r="R16" s="15" t="s">
        <v>510</v>
      </c>
      <c r="S16" s="19">
        <v>1</v>
      </c>
      <c r="T16" s="19">
        <v>1</v>
      </c>
      <c r="U16" s="19">
        <v>1</v>
      </c>
      <c r="V16" s="19">
        <v>4</v>
      </c>
      <c r="W16" s="19">
        <v>4</v>
      </c>
      <c r="X16" s="41"/>
      <c r="Y16" s="41"/>
      <c r="Z16" s="41"/>
      <c r="AA16" s="41"/>
      <c r="AB16" s="41"/>
      <c r="AC16" s="41"/>
      <c r="AD16" s="41"/>
      <c r="AE16" s="41"/>
      <c r="AF16" s="41"/>
      <c r="AG16" s="41"/>
      <c r="AH16" s="41"/>
      <c r="AI16" s="41"/>
      <c r="AJ16" s="41"/>
      <c r="AK16" s="41"/>
      <c r="AL16" s="41"/>
      <c r="AM16" s="41"/>
    </row>
    <row r="17" spans="1:39">
      <c r="A17" s="41">
        <v>30</v>
      </c>
      <c r="B17" s="41">
        <v>167</v>
      </c>
      <c r="C17" s="19">
        <v>10</v>
      </c>
      <c r="D17" s="15" t="s">
        <v>1322</v>
      </c>
      <c r="E17" s="41">
        <v>4</v>
      </c>
      <c r="F17" s="41">
        <v>5</v>
      </c>
      <c r="G17" s="41">
        <v>5</v>
      </c>
      <c r="H17" s="41">
        <v>4</v>
      </c>
      <c r="I17" s="41">
        <v>4</v>
      </c>
      <c r="J17" s="19">
        <v>13</v>
      </c>
      <c r="K17" s="15" t="s">
        <v>506</v>
      </c>
      <c r="L17" s="19">
        <v>4</v>
      </c>
      <c r="M17" s="19">
        <v>5</v>
      </c>
      <c r="N17" s="19">
        <v>5</v>
      </c>
      <c r="O17" s="19">
        <v>5</v>
      </c>
      <c r="P17" s="19">
        <v>4</v>
      </c>
      <c r="Q17" s="19">
        <v>5</v>
      </c>
      <c r="R17" s="15" t="s">
        <v>500</v>
      </c>
      <c r="S17" s="19">
        <v>4</v>
      </c>
      <c r="T17" s="19">
        <v>5</v>
      </c>
      <c r="U17" s="19">
        <v>5</v>
      </c>
      <c r="V17" s="19">
        <v>5</v>
      </c>
      <c r="W17" s="19">
        <v>5</v>
      </c>
      <c r="X17" s="41"/>
      <c r="Y17" s="41"/>
      <c r="Z17" s="41"/>
      <c r="AA17" s="41"/>
      <c r="AB17" s="41"/>
      <c r="AC17" s="41"/>
      <c r="AD17" s="41"/>
      <c r="AE17" s="41"/>
      <c r="AF17" s="41"/>
      <c r="AG17" s="41"/>
      <c r="AH17" s="41"/>
      <c r="AI17" s="41"/>
      <c r="AJ17" s="41"/>
      <c r="AK17" s="41"/>
      <c r="AL17" s="41"/>
      <c r="AM17" s="41"/>
    </row>
    <row r="18" spans="1:39">
      <c r="A18" s="41">
        <v>15</v>
      </c>
      <c r="B18" s="41">
        <v>168</v>
      </c>
      <c r="C18" s="19">
        <v>1</v>
      </c>
      <c r="D18" s="15" t="s">
        <v>497</v>
      </c>
      <c r="E18" s="41">
        <v>3</v>
      </c>
      <c r="F18" s="41">
        <v>2</v>
      </c>
      <c r="G18" s="41">
        <v>3</v>
      </c>
      <c r="H18" s="41">
        <v>3</v>
      </c>
      <c r="I18" s="41">
        <v>4</v>
      </c>
      <c r="J18" s="19">
        <v>16</v>
      </c>
      <c r="K18" s="15" t="s">
        <v>509</v>
      </c>
      <c r="L18" s="19">
        <v>3</v>
      </c>
      <c r="M18" s="19">
        <v>2</v>
      </c>
      <c r="N18" s="19">
        <v>2</v>
      </c>
      <c r="O18" s="19">
        <v>4</v>
      </c>
      <c r="P18" s="19">
        <v>4</v>
      </c>
      <c r="Q18" s="19">
        <v>17</v>
      </c>
      <c r="R18" s="15" t="s">
        <v>510</v>
      </c>
      <c r="S18" s="19">
        <v>2</v>
      </c>
      <c r="T18" s="19">
        <v>2</v>
      </c>
      <c r="U18" s="19">
        <v>2</v>
      </c>
      <c r="V18" s="19">
        <v>3</v>
      </c>
      <c r="W18" s="19">
        <v>4</v>
      </c>
      <c r="X18" s="41"/>
      <c r="Y18" s="41"/>
      <c r="Z18" s="41"/>
      <c r="AA18" s="41"/>
      <c r="AB18" s="41"/>
      <c r="AC18" s="41"/>
      <c r="AD18" s="41"/>
      <c r="AE18" s="41"/>
      <c r="AF18" s="41"/>
      <c r="AG18" s="41"/>
      <c r="AH18" s="41"/>
      <c r="AI18" s="41"/>
      <c r="AJ18" s="41"/>
      <c r="AK18" s="41"/>
      <c r="AL18" s="41"/>
      <c r="AM18" s="41"/>
    </row>
    <row r="19" spans="1:39">
      <c r="A19" s="41">
        <v>6</v>
      </c>
      <c r="B19" s="41">
        <v>169</v>
      </c>
      <c r="C19" s="19">
        <v>9</v>
      </c>
      <c r="D19" s="15" t="s">
        <v>503</v>
      </c>
      <c r="E19" s="41">
        <v>4</v>
      </c>
      <c r="F19" s="41">
        <v>3</v>
      </c>
      <c r="G19" s="41">
        <v>4</v>
      </c>
      <c r="H19" s="41">
        <v>4</v>
      </c>
      <c r="I19" s="41">
        <v>4</v>
      </c>
      <c r="J19" s="19">
        <v>1</v>
      </c>
      <c r="K19" s="15" t="s">
        <v>497</v>
      </c>
      <c r="L19" s="19">
        <v>4</v>
      </c>
      <c r="M19" s="19">
        <v>4</v>
      </c>
      <c r="N19" s="19">
        <v>4</v>
      </c>
      <c r="O19" s="19">
        <v>3</v>
      </c>
      <c r="P19" s="19">
        <v>4</v>
      </c>
      <c r="Q19" s="19">
        <v>11</v>
      </c>
      <c r="R19" s="15" t="s">
        <v>504</v>
      </c>
      <c r="S19" s="19">
        <v>3</v>
      </c>
      <c r="T19" s="19">
        <v>4</v>
      </c>
      <c r="U19" s="19">
        <v>3</v>
      </c>
      <c r="V19" s="19">
        <v>4</v>
      </c>
      <c r="W19" s="19">
        <v>4</v>
      </c>
      <c r="X19" s="41"/>
      <c r="Y19" s="41"/>
      <c r="Z19" s="41"/>
      <c r="AA19" s="41"/>
      <c r="AB19" s="41"/>
      <c r="AC19" s="41"/>
      <c r="AD19" s="41"/>
      <c r="AE19" s="41"/>
      <c r="AF19" s="41"/>
      <c r="AG19" s="41"/>
      <c r="AH19" s="41"/>
      <c r="AI19" s="41"/>
      <c r="AJ19" s="41"/>
      <c r="AK19" s="41"/>
      <c r="AL19" s="41"/>
      <c r="AM19" s="41"/>
    </row>
    <row r="20" spans="1:39">
      <c r="A20" s="41">
        <v>34</v>
      </c>
      <c r="B20" s="41">
        <v>170</v>
      </c>
      <c r="C20" s="19">
        <v>3</v>
      </c>
      <c r="D20" s="15" t="s">
        <v>498</v>
      </c>
      <c r="E20" s="41">
        <v>4</v>
      </c>
      <c r="F20" s="41">
        <v>3</v>
      </c>
      <c r="G20" s="41">
        <v>3</v>
      </c>
      <c r="H20" s="41">
        <v>5</v>
      </c>
      <c r="I20" s="41">
        <v>5</v>
      </c>
      <c r="J20" s="19">
        <v>14</v>
      </c>
      <c r="K20" s="15" t="s">
        <v>507</v>
      </c>
      <c r="L20" s="19">
        <v>4</v>
      </c>
      <c r="M20" s="19">
        <v>4</v>
      </c>
      <c r="N20" s="19">
        <v>4</v>
      </c>
      <c r="O20" s="19">
        <v>5</v>
      </c>
      <c r="P20" s="19">
        <v>5</v>
      </c>
      <c r="Q20" s="19">
        <v>17</v>
      </c>
      <c r="R20" s="15" t="s">
        <v>510</v>
      </c>
      <c r="S20" s="19">
        <v>3</v>
      </c>
      <c r="T20" s="19">
        <v>4</v>
      </c>
      <c r="U20" s="19">
        <v>3</v>
      </c>
      <c r="V20" s="19">
        <v>5</v>
      </c>
      <c r="W20" s="19">
        <v>5</v>
      </c>
      <c r="X20" s="41"/>
      <c r="Y20" s="41"/>
      <c r="Z20" s="41"/>
      <c r="AA20" s="41"/>
      <c r="AB20" s="41"/>
      <c r="AC20" s="41"/>
      <c r="AD20" s="41"/>
      <c r="AE20" s="41"/>
      <c r="AF20" s="41"/>
      <c r="AG20" s="41"/>
      <c r="AH20" s="41"/>
      <c r="AI20" s="41"/>
      <c r="AJ20" s="41"/>
      <c r="AK20" s="41"/>
      <c r="AL20" s="41"/>
      <c r="AM20" s="41"/>
    </row>
    <row r="21" spans="1:39">
      <c r="A21" s="41">
        <v>23</v>
      </c>
      <c r="B21" s="41">
        <v>171</v>
      </c>
      <c r="C21" s="19">
        <v>3</v>
      </c>
      <c r="D21" s="15" t="s">
        <v>498</v>
      </c>
      <c r="E21" s="41">
        <v>5</v>
      </c>
      <c r="F21" s="41">
        <v>5</v>
      </c>
      <c r="G21" s="41">
        <v>4</v>
      </c>
      <c r="H21" s="41">
        <v>5</v>
      </c>
      <c r="I21" s="41">
        <v>5</v>
      </c>
      <c r="J21" s="19">
        <v>7</v>
      </c>
      <c r="K21" s="15" t="s">
        <v>1321</v>
      </c>
      <c r="L21" s="19">
        <v>4</v>
      </c>
      <c r="M21" s="19">
        <v>5</v>
      </c>
      <c r="N21" s="19">
        <v>4</v>
      </c>
      <c r="O21" s="19">
        <v>5</v>
      </c>
      <c r="P21" s="19">
        <v>5</v>
      </c>
      <c r="Q21" s="19">
        <v>9</v>
      </c>
      <c r="R21" s="15" t="s">
        <v>503</v>
      </c>
      <c r="S21" s="19">
        <v>5</v>
      </c>
      <c r="T21" s="19">
        <v>5</v>
      </c>
      <c r="U21" s="19">
        <v>4</v>
      </c>
      <c r="V21" s="19">
        <v>5</v>
      </c>
      <c r="W21" s="19">
        <v>5</v>
      </c>
      <c r="X21" s="41"/>
      <c r="Y21" s="41"/>
      <c r="Z21" s="41"/>
      <c r="AA21" s="41"/>
      <c r="AB21" s="41"/>
      <c r="AC21" s="41"/>
      <c r="AD21" s="41"/>
      <c r="AE21" s="41"/>
      <c r="AF21" s="41"/>
      <c r="AG21" s="41"/>
      <c r="AH21" s="41"/>
      <c r="AI21" s="41"/>
      <c r="AJ21" s="41"/>
      <c r="AK21" s="41"/>
      <c r="AL21" s="41"/>
      <c r="AM21" s="41"/>
    </row>
    <row r="22" spans="1:39">
      <c r="A22" s="41">
        <v>8</v>
      </c>
      <c r="B22" s="41">
        <v>172</v>
      </c>
      <c r="C22" s="19">
        <v>1</v>
      </c>
      <c r="D22" s="15" t="s">
        <v>497</v>
      </c>
      <c r="E22" s="41">
        <v>4</v>
      </c>
      <c r="F22" s="41">
        <v>4</v>
      </c>
      <c r="G22" s="41">
        <v>3</v>
      </c>
      <c r="H22" s="41">
        <v>4</v>
      </c>
      <c r="I22" s="41">
        <v>4</v>
      </c>
      <c r="J22" s="19">
        <v>3</v>
      </c>
      <c r="K22" s="15" t="s">
        <v>498</v>
      </c>
      <c r="L22" s="19">
        <v>4</v>
      </c>
      <c r="M22" s="19">
        <v>4</v>
      </c>
      <c r="N22" s="19">
        <v>4</v>
      </c>
      <c r="O22" s="19">
        <v>4</v>
      </c>
      <c r="P22" s="19">
        <v>4</v>
      </c>
      <c r="Q22" s="19">
        <v>17</v>
      </c>
      <c r="R22" s="15" t="s">
        <v>510</v>
      </c>
      <c r="S22" s="19">
        <v>4</v>
      </c>
      <c r="T22" s="19">
        <v>4</v>
      </c>
      <c r="U22" s="19">
        <v>4</v>
      </c>
      <c r="V22" s="19">
        <v>4</v>
      </c>
      <c r="W22" s="19">
        <v>4</v>
      </c>
      <c r="X22" s="41"/>
      <c r="Y22" s="41"/>
      <c r="Z22" s="41"/>
      <c r="AA22" s="41"/>
      <c r="AB22" s="41"/>
      <c r="AC22" s="41"/>
      <c r="AD22" s="41"/>
      <c r="AE22" s="41"/>
      <c r="AF22" s="41"/>
      <c r="AG22" s="41"/>
      <c r="AH22" s="41"/>
      <c r="AI22" s="41"/>
      <c r="AJ22" s="41"/>
      <c r="AK22" s="41"/>
      <c r="AL22" s="41"/>
      <c r="AM22" s="41"/>
    </row>
    <row r="23" spans="1:39">
      <c r="A23" s="41">
        <v>4</v>
      </c>
      <c r="B23" s="41">
        <v>173</v>
      </c>
      <c r="C23" s="19">
        <v>5</v>
      </c>
      <c r="D23" s="15" t="s">
        <v>500</v>
      </c>
      <c r="E23" s="41">
        <v>2</v>
      </c>
      <c r="F23" s="41">
        <v>3</v>
      </c>
      <c r="G23" s="41">
        <v>3</v>
      </c>
      <c r="H23" s="41">
        <v>1</v>
      </c>
      <c r="I23" s="41">
        <v>1</v>
      </c>
      <c r="J23" s="19">
        <v>17</v>
      </c>
      <c r="K23" s="15" t="s">
        <v>510</v>
      </c>
      <c r="L23" s="19">
        <v>4</v>
      </c>
      <c r="M23" s="19">
        <v>2</v>
      </c>
      <c r="N23" s="19">
        <v>2</v>
      </c>
      <c r="O23" s="19">
        <v>3</v>
      </c>
      <c r="P23" s="19">
        <v>3</v>
      </c>
      <c r="Q23" s="19">
        <v>9</v>
      </c>
      <c r="R23" s="15" t="s">
        <v>503</v>
      </c>
      <c r="S23" s="19">
        <v>3</v>
      </c>
      <c r="T23" s="19">
        <v>3</v>
      </c>
      <c r="U23" s="19">
        <v>2</v>
      </c>
      <c r="V23" s="19">
        <v>4</v>
      </c>
      <c r="W23" s="19">
        <v>4</v>
      </c>
      <c r="X23" s="41"/>
      <c r="Y23" s="41"/>
      <c r="Z23" s="41"/>
      <c r="AA23" s="41"/>
      <c r="AB23" s="41"/>
      <c r="AC23" s="41"/>
      <c r="AD23" s="41"/>
      <c r="AE23" s="41"/>
      <c r="AF23" s="41"/>
      <c r="AG23" s="41"/>
      <c r="AH23" s="41"/>
      <c r="AI23" s="41"/>
      <c r="AJ23" s="41"/>
      <c r="AK23" s="41"/>
      <c r="AL23" s="41"/>
      <c r="AM23" s="41"/>
    </row>
    <row r="24" spans="1:39">
      <c r="A24" s="41">
        <v>1</v>
      </c>
      <c r="B24" s="41">
        <v>175</v>
      </c>
      <c r="C24" s="19">
        <v>7</v>
      </c>
      <c r="D24" s="15" t="s">
        <v>1321</v>
      </c>
      <c r="E24" s="41">
        <v>5</v>
      </c>
      <c r="F24" s="41">
        <v>4</v>
      </c>
      <c r="G24" s="41">
        <v>4</v>
      </c>
      <c r="H24" s="41">
        <v>5</v>
      </c>
      <c r="I24" s="41">
        <v>5</v>
      </c>
      <c r="J24" s="19">
        <v>9</v>
      </c>
      <c r="K24" s="15" t="s">
        <v>503</v>
      </c>
      <c r="L24" s="19">
        <v>4</v>
      </c>
      <c r="M24" s="19">
        <v>3</v>
      </c>
      <c r="N24" s="19">
        <v>4</v>
      </c>
      <c r="O24" s="19">
        <v>5</v>
      </c>
      <c r="P24" s="19">
        <v>5</v>
      </c>
      <c r="Q24" s="19">
        <v>6</v>
      </c>
      <c r="R24" s="15" t="s">
        <v>501</v>
      </c>
      <c r="S24" s="19">
        <v>5</v>
      </c>
      <c r="T24" s="19">
        <v>4</v>
      </c>
      <c r="U24" s="19">
        <v>4</v>
      </c>
      <c r="V24" s="19">
        <v>5</v>
      </c>
      <c r="W24" s="19">
        <v>5</v>
      </c>
      <c r="X24" s="41"/>
      <c r="Y24" s="41"/>
      <c r="Z24" s="41"/>
      <c r="AA24" s="41"/>
      <c r="AB24" s="41"/>
      <c r="AC24" s="41"/>
      <c r="AD24" s="41"/>
      <c r="AE24" s="41"/>
      <c r="AF24" s="41"/>
      <c r="AG24" s="41"/>
      <c r="AH24" s="41"/>
      <c r="AI24" s="41"/>
      <c r="AJ24" s="41"/>
      <c r="AK24" s="41"/>
      <c r="AL24" s="41"/>
      <c r="AM24" s="41"/>
    </row>
    <row r="25" spans="1:39">
      <c r="A25" s="41">
        <v>26</v>
      </c>
      <c r="B25" s="41">
        <v>178</v>
      </c>
      <c r="C25" s="19">
        <v>11</v>
      </c>
      <c r="D25" s="15" t="s">
        <v>504</v>
      </c>
      <c r="E25" s="41">
        <v>5</v>
      </c>
      <c r="F25" s="41">
        <v>4</v>
      </c>
      <c r="G25" s="41">
        <v>4</v>
      </c>
      <c r="H25" s="41">
        <v>4</v>
      </c>
      <c r="I25" s="41">
        <v>4</v>
      </c>
      <c r="J25" s="19">
        <v>7</v>
      </c>
      <c r="K25" s="15" t="s">
        <v>1321</v>
      </c>
      <c r="L25" s="19">
        <v>4</v>
      </c>
      <c r="M25" s="19">
        <v>3</v>
      </c>
      <c r="N25" s="19">
        <v>3</v>
      </c>
      <c r="O25" s="19">
        <v>4</v>
      </c>
      <c r="P25" s="19">
        <v>5</v>
      </c>
      <c r="Q25" s="19">
        <v>16</v>
      </c>
      <c r="R25" s="15" t="s">
        <v>509</v>
      </c>
      <c r="S25" s="19">
        <v>5</v>
      </c>
      <c r="T25" s="19">
        <v>5</v>
      </c>
      <c r="U25" s="19">
        <v>4</v>
      </c>
      <c r="V25" s="19">
        <v>5</v>
      </c>
      <c r="W25" s="19">
        <v>5</v>
      </c>
      <c r="X25" s="41"/>
      <c r="Y25" s="41"/>
      <c r="Z25" s="41"/>
      <c r="AA25" s="41"/>
      <c r="AB25" s="41"/>
      <c r="AC25" s="41"/>
      <c r="AD25" s="41"/>
      <c r="AE25" s="41"/>
      <c r="AF25" s="41"/>
      <c r="AG25" s="41"/>
      <c r="AH25" s="41"/>
      <c r="AI25" s="41"/>
      <c r="AJ25" s="41"/>
      <c r="AK25" s="41"/>
      <c r="AL25" s="41"/>
      <c r="AM25" s="41"/>
    </row>
    <row r="26" spans="1:39">
      <c r="A26" s="41">
        <v>36</v>
      </c>
      <c r="B26" s="41">
        <v>179</v>
      </c>
      <c r="C26" s="19">
        <v>3</v>
      </c>
      <c r="D26" s="15" t="s">
        <v>498</v>
      </c>
      <c r="E26" s="41">
        <v>1</v>
      </c>
      <c r="F26" s="41">
        <v>1</v>
      </c>
      <c r="G26" s="41">
        <v>1</v>
      </c>
      <c r="H26" s="41">
        <v>1</v>
      </c>
      <c r="I26" s="41">
        <v>1</v>
      </c>
      <c r="J26" s="19">
        <v>14</v>
      </c>
      <c r="K26" s="15" t="s">
        <v>507</v>
      </c>
      <c r="L26" s="19">
        <v>1</v>
      </c>
      <c r="M26" s="19">
        <v>1</v>
      </c>
      <c r="N26" s="19">
        <v>1</v>
      </c>
      <c r="O26" s="19">
        <v>1</v>
      </c>
      <c r="P26" s="19">
        <v>1</v>
      </c>
      <c r="Q26" s="19">
        <v>9</v>
      </c>
      <c r="R26" s="15" t="s">
        <v>503</v>
      </c>
      <c r="S26" s="19">
        <v>1</v>
      </c>
      <c r="T26" s="19">
        <v>1</v>
      </c>
      <c r="U26" s="19">
        <v>1</v>
      </c>
      <c r="V26" s="19">
        <v>1</v>
      </c>
      <c r="W26" s="19">
        <v>1</v>
      </c>
      <c r="X26" s="41"/>
      <c r="Y26" s="41"/>
      <c r="Z26" s="41"/>
      <c r="AA26" s="41"/>
      <c r="AB26" s="41"/>
      <c r="AC26" s="41"/>
      <c r="AD26" s="41"/>
      <c r="AE26" s="41"/>
      <c r="AF26" s="41"/>
      <c r="AG26" s="41"/>
      <c r="AH26" s="41"/>
      <c r="AI26" s="41"/>
      <c r="AJ26" s="41"/>
      <c r="AK26" s="41"/>
      <c r="AL26" s="41"/>
      <c r="AM26" s="41"/>
    </row>
    <row r="27" spans="1:39">
      <c r="A27" s="41">
        <v>13</v>
      </c>
      <c r="B27" s="41">
        <v>180</v>
      </c>
      <c r="C27" s="19">
        <v>4</v>
      </c>
      <c r="D27" s="15" t="s">
        <v>499</v>
      </c>
      <c r="E27" s="41">
        <v>5</v>
      </c>
      <c r="F27" s="41">
        <v>4</v>
      </c>
      <c r="G27" s="41">
        <v>4</v>
      </c>
      <c r="H27" s="41">
        <v>5</v>
      </c>
      <c r="I27" s="41">
        <v>5</v>
      </c>
      <c r="J27" s="19">
        <v>9</v>
      </c>
      <c r="K27" s="15" t="s">
        <v>503</v>
      </c>
      <c r="L27" s="19">
        <v>4</v>
      </c>
      <c r="M27" s="19">
        <v>4</v>
      </c>
      <c r="N27" s="19">
        <v>5</v>
      </c>
      <c r="O27" s="19">
        <v>5</v>
      </c>
      <c r="P27" s="19">
        <v>5</v>
      </c>
      <c r="Q27" s="19">
        <v>11</v>
      </c>
      <c r="R27" s="15" t="s">
        <v>504</v>
      </c>
      <c r="S27" s="19">
        <v>5</v>
      </c>
      <c r="T27" s="19">
        <v>5</v>
      </c>
      <c r="U27" s="19">
        <v>5</v>
      </c>
      <c r="V27" s="19">
        <v>5</v>
      </c>
      <c r="W27" s="19">
        <v>5</v>
      </c>
      <c r="X27" s="41"/>
      <c r="Y27" s="41"/>
      <c r="Z27" s="41"/>
      <c r="AA27" s="41"/>
      <c r="AB27" s="41"/>
      <c r="AC27" s="41"/>
      <c r="AD27" s="41"/>
      <c r="AE27" s="41"/>
      <c r="AF27" s="41"/>
      <c r="AG27" s="41"/>
      <c r="AH27" s="41"/>
      <c r="AI27" s="41"/>
      <c r="AJ27" s="41"/>
      <c r="AK27" s="41"/>
      <c r="AL27" s="41"/>
      <c r="AM27" s="41"/>
    </row>
    <row r="28" spans="1:39">
      <c r="A28" s="41">
        <v>16</v>
      </c>
      <c r="B28" s="41">
        <v>182</v>
      </c>
      <c r="C28" s="19">
        <v>1</v>
      </c>
      <c r="D28" s="15" t="s">
        <v>497</v>
      </c>
      <c r="E28" s="41">
        <v>3</v>
      </c>
      <c r="F28" s="41">
        <v>2</v>
      </c>
      <c r="G28" s="41">
        <v>3</v>
      </c>
      <c r="H28" s="41">
        <v>4</v>
      </c>
      <c r="I28" s="41">
        <v>5</v>
      </c>
      <c r="J28" s="19">
        <v>3</v>
      </c>
      <c r="K28" s="15" t="s">
        <v>498</v>
      </c>
      <c r="L28" s="19">
        <v>4</v>
      </c>
      <c r="M28" s="19">
        <v>4</v>
      </c>
      <c r="N28" s="19">
        <v>4</v>
      </c>
      <c r="O28" s="19">
        <v>5</v>
      </c>
      <c r="P28" s="19">
        <v>5</v>
      </c>
      <c r="Q28" s="19">
        <v>14</v>
      </c>
      <c r="R28" s="15" t="s">
        <v>507</v>
      </c>
      <c r="S28" s="19">
        <v>4</v>
      </c>
      <c r="T28" s="19">
        <v>4</v>
      </c>
      <c r="U28" s="19">
        <v>3</v>
      </c>
      <c r="V28" s="19">
        <v>5</v>
      </c>
      <c r="W28" s="19">
        <v>5</v>
      </c>
      <c r="X28" s="41"/>
      <c r="Y28" s="41"/>
      <c r="Z28" s="41"/>
      <c r="AA28" s="41"/>
      <c r="AB28" s="41"/>
      <c r="AC28" s="41"/>
      <c r="AD28" s="41"/>
      <c r="AE28" s="41"/>
      <c r="AF28" s="41"/>
      <c r="AG28" s="41"/>
      <c r="AH28" s="41"/>
      <c r="AI28" s="41"/>
      <c r="AJ28" s="41"/>
      <c r="AK28" s="41"/>
      <c r="AL28" s="41"/>
      <c r="AM28" s="41"/>
    </row>
    <row r="29" spans="1:39">
      <c r="A29" s="41">
        <v>25</v>
      </c>
      <c r="B29" s="41">
        <v>183</v>
      </c>
      <c r="C29" s="19">
        <v>10</v>
      </c>
      <c r="D29" s="15" t="s">
        <v>1322</v>
      </c>
      <c r="E29" s="41">
        <v>3</v>
      </c>
      <c r="F29" s="41">
        <v>4</v>
      </c>
      <c r="G29" s="41">
        <v>4</v>
      </c>
      <c r="H29" s="41">
        <v>5</v>
      </c>
      <c r="I29" s="41">
        <v>4</v>
      </c>
      <c r="J29" s="19">
        <v>6</v>
      </c>
      <c r="K29" s="15" t="s">
        <v>501</v>
      </c>
      <c r="L29" s="19">
        <v>3</v>
      </c>
      <c r="M29" s="19">
        <v>4</v>
      </c>
      <c r="N29" s="19">
        <v>4</v>
      </c>
      <c r="O29" s="19">
        <v>4</v>
      </c>
      <c r="P29" s="19">
        <v>4</v>
      </c>
      <c r="Q29" s="19">
        <v>9</v>
      </c>
      <c r="R29" s="15" t="s">
        <v>503</v>
      </c>
      <c r="S29" s="19">
        <v>3</v>
      </c>
      <c r="T29" s="19">
        <v>4</v>
      </c>
      <c r="U29" s="19">
        <v>3</v>
      </c>
      <c r="V29" s="19">
        <v>4</v>
      </c>
      <c r="W29" s="19">
        <v>4</v>
      </c>
      <c r="X29" s="41"/>
      <c r="Y29" s="41"/>
      <c r="Z29" s="41"/>
      <c r="AA29" s="41"/>
      <c r="AB29" s="41"/>
      <c r="AC29" s="41"/>
      <c r="AD29" s="41"/>
      <c r="AE29" s="41"/>
      <c r="AF29" s="41"/>
      <c r="AG29" s="41"/>
      <c r="AH29" s="41"/>
      <c r="AI29" s="41"/>
      <c r="AJ29" s="41"/>
      <c r="AK29" s="41"/>
      <c r="AL29" s="41"/>
      <c r="AM29" s="41"/>
    </row>
    <row r="30" spans="1:39">
      <c r="A30" s="41">
        <v>18</v>
      </c>
      <c r="B30" s="41">
        <v>184</v>
      </c>
      <c r="C30" s="19">
        <v>9</v>
      </c>
      <c r="D30" s="15" t="s">
        <v>503</v>
      </c>
      <c r="E30" s="41">
        <v>4</v>
      </c>
      <c r="F30" s="41">
        <v>5</v>
      </c>
      <c r="G30" s="41">
        <v>3</v>
      </c>
      <c r="H30" s="41">
        <v>5</v>
      </c>
      <c r="I30" s="41">
        <v>5</v>
      </c>
      <c r="J30" s="19">
        <v>13</v>
      </c>
      <c r="K30" s="15" t="s">
        <v>506</v>
      </c>
      <c r="L30" s="19">
        <v>2</v>
      </c>
      <c r="M30" s="19">
        <v>2</v>
      </c>
      <c r="N30" s="19">
        <v>1</v>
      </c>
      <c r="O30" s="19">
        <v>5</v>
      </c>
      <c r="P30" s="19">
        <v>5</v>
      </c>
      <c r="Q30" s="19">
        <v>1</v>
      </c>
      <c r="R30" s="15" t="s">
        <v>497</v>
      </c>
      <c r="S30" s="19">
        <v>4</v>
      </c>
      <c r="T30" s="19">
        <v>2</v>
      </c>
      <c r="U30" s="19">
        <v>1</v>
      </c>
      <c r="V30" s="19">
        <v>5</v>
      </c>
      <c r="W30" s="19">
        <v>5</v>
      </c>
      <c r="X30" s="41"/>
      <c r="Y30" s="41"/>
      <c r="Z30" s="41"/>
      <c r="AA30" s="41"/>
      <c r="AB30" s="41"/>
      <c r="AC30" s="41"/>
      <c r="AD30" s="41"/>
      <c r="AE30" s="41"/>
      <c r="AF30" s="41"/>
      <c r="AG30" s="41"/>
      <c r="AH30" s="41"/>
      <c r="AI30" s="41"/>
      <c r="AJ30" s="41"/>
      <c r="AK30" s="41"/>
      <c r="AL30" s="41"/>
      <c r="AM30" s="41"/>
    </row>
    <row r="31" spans="1:39">
      <c r="A31" s="41">
        <v>32</v>
      </c>
      <c r="B31" s="41">
        <v>185</v>
      </c>
      <c r="C31" s="19">
        <v>8</v>
      </c>
      <c r="D31" s="15" t="s">
        <v>502</v>
      </c>
      <c r="E31" s="41">
        <v>5</v>
      </c>
      <c r="F31" s="41">
        <v>4</v>
      </c>
      <c r="G31" s="41">
        <v>4</v>
      </c>
      <c r="H31" s="41">
        <v>5</v>
      </c>
      <c r="I31" s="41">
        <v>5</v>
      </c>
      <c r="J31" s="19">
        <v>17</v>
      </c>
      <c r="K31" s="15" t="s">
        <v>510</v>
      </c>
      <c r="L31" s="19">
        <v>4</v>
      </c>
      <c r="M31" s="19">
        <v>4</v>
      </c>
      <c r="N31" s="19">
        <v>2</v>
      </c>
      <c r="O31" s="19">
        <v>5</v>
      </c>
      <c r="P31" s="19">
        <v>5</v>
      </c>
      <c r="Q31" s="19">
        <v>10</v>
      </c>
      <c r="R31" s="15" t="s">
        <v>1322</v>
      </c>
      <c r="S31" s="19">
        <v>5</v>
      </c>
      <c r="T31" s="19">
        <v>4</v>
      </c>
      <c r="U31" s="19">
        <v>3</v>
      </c>
      <c r="V31" s="19">
        <v>5</v>
      </c>
      <c r="W31" s="19">
        <v>5</v>
      </c>
      <c r="X31" s="41"/>
      <c r="Y31" s="41"/>
      <c r="Z31" s="41"/>
      <c r="AA31" s="41"/>
      <c r="AB31" s="41"/>
      <c r="AC31" s="41"/>
      <c r="AD31" s="41"/>
      <c r="AE31" s="41"/>
      <c r="AF31" s="41"/>
      <c r="AG31" s="41"/>
      <c r="AH31" s="41"/>
      <c r="AI31" s="41"/>
      <c r="AJ31" s="41"/>
      <c r="AK31" s="41"/>
      <c r="AL31" s="41"/>
      <c r="AM31" s="41"/>
    </row>
    <row r="32" spans="1:39">
      <c r="A32" s="41">
        <v>31</v>
      </c>
      <c r="B32" s="41">
        <v>187</v>
      </c>
      <c r="C32" s="19">
        <v>9</v>
      </c>
      <c r="D32" s="15" t="s">
        <v>503</v>
      </c>
      <c r="E32" s="41">
        <v>4</v>
      </c>
      <c r="F32" s="41">
        <v>4</v>
      </c>
      <c r="G32" s="41">
        <v>4</v>
      </c>
      <c r="H32" s="41">
        <v>5</v>
      </c>
      <c r="I32" s="41">
        <v>5</v>
      </c>
      <c r="J32" s="19">
        <v>6</v>
      </c>
      <c r="K32" s="15" t="s">
        <v>501</v>
      </c>
      <c r="L32" s="19">
        <v>5</v>
      </c>
      <c r="M32" s="19">
        <v>4</v>
      </c>
      <c r="N32" s="19">
        <v>5</v>
      </c>
      <c r="O32" s="19">
        <v>5</v>
      </c>
      <c r="P32" s="19">
        <v>5</v>
      </c>
      <c r="Q32" s="19">
        <v>1</v>
      </c>
      <c r="R32" s="15" t="s">
        <v>497</v>
      </c>
      <c r="S32" s="19">
        <v>3</v>
      </c>
      <c r="T32" s="19">
        <v>2</v>
      </c>
      <c r="U32" s="19">
        <v>3</v>
      </c>
      <c r="V32" s="19">
        <v>5</v>
      </c>
      <c r="W32" s="19">
        <v>5</v>
      </c>
      <c r="X32" s="41"/>
      <c r="Y32" s="41"/>
      <c r="Z32" s="41"/>
      <c r="AA32" s="41"/>
      <c r="AB32" s="41"/>
      <c r="AC32" s="41"/>
      <c r="AD32" s="41"/>
      <c r="AE32" s="41"/>
      <c r="AF32" s="41"/>
      <c r="AG32" s="41"/>
      <c r="AH32" s="41"/>
      <c r="AI32" s="41"/>
      <c r="AJ32" s="41"/>
      <c r="AK32" s="41"/>
      <c r="AL32" s="41"/>
      <c r="AM32" s="41"/>
    </row>
    <row r="33" spans="1:39">
      <c r="A33" s="41">
        <v>14</v>
      </c>
      <c r="B33" s="41">
        <v>189</v>
      </c>
      <c r="C33" s="19">
        <v>9</v>
      </c>
      <c r="D33" s="15" t="s">
        <v>503</v>
      </c>
      <c r="E33" s="41">
        <v>4</v>
      </c>
      <c r="F33" s="41">
        <v>5</v>
      </c>
      <c r="G33" s="41">
        <v>3</v>
      </c>
      <c r="H33" s="41">
        <v>4</v>
      </c>
      <c r="I33" s="41">
        <v>4</v>
      </c>
      <c r="J33" s="19">
        <v>15</v>
      </c>
      <c r="K33" s="15" t="s">
        <v>508</v>
      </c>
      <c r="L33" s="19">
        <v>4</v>
      </c>
      <c r="M33" s="19">
        <v>4</v>
      </c>
      <c r="N33" s="19">
        <v>3</v>
      </c>
      <c r="O33" s="19">
        <v>5</v>
      </c>
      <c r="P33" s="19">
        <v>5</v>
      </c>
      <c r="Q33" s="19">
        <v>14</v>
      </c>
      <c r="R33" s="15" t="s">
        <v>507</v>
      </c>
      <c r="S33" s="19">
        <v>3</v>
      </c>
      <c r="T33" s="19">
        <v>4</v>
      </c>
      <c r="U33" s="19">
        <v>2</v>
      </c>
      <c r="V33" s="19">
        <v>5</v>
      </c>
      <c r="W33" s="19">
        <v>5</v>
      </c>
      <c r="X33" s="41"/>
      <c r="Y33" s="41"/>
      <c r="Z33" s="41"/>
      <c r="AA33" s="41"/>
      <c r="AB33" s="41"/>
      <c r="AC33" s="41"/>
      <c r="AD33" s="41"/>
      <c r="AE33" s="41"/>
      <c r="AF33" s="41"/>
      <c r="AG33" s="41"/>
      <c r="AH33" s="41"/>
      <c r="AI33" s="41"/>
      <c r="AJ33" s="41"/>
      <c r="AK33" s="41"/>
      <c r="AL33" s="41"/>
      <c r="AM33" s="41"/>
    </row>
    <row r="34" spans="1:39">
      <c r="A34" s="41">
        <v>27</v>
      </c>
      <c r="B34" s="41">
        <v>190</v>
      </c>
      <c r="C34" s="19">
        <v>7</v>
      </c>
      <c r="D34" s="15" t="s">
        <v>1321</v>
      </c>
      <c r="E34" s="41">
        <v>3</v>
      </c>
      <c r="F34" s="41">
        <v>4</v>
      </c>
      <c r="G34" s="41">
        <v>3</v>
      </c>
      <c r="H34" s="41">
        <v>5</v>
      </c>
      <c r="I34" s="41">
        <v>5</v>
      </c>
      <c r="J34" s="19">
        <v>9</v>
      </c>
      <c r="K34" s="15" t="s">
        <v>503</v>
      </c>
      <c r="L34" s="19">
        <v>2</v>
      </c>
      <c r="M34" s="19">
        <v>4</v>
      </c>
      <c r="N34" s="19">
        <v>2</v>
      </c>
      <c r="O34" s="19">
        <v>5</v>
      </c>
      <c r="P34" s="19">
        <v>3</v>
      </c>
      <c r="Q34" s="19">
        <v>11</v>
      </c>
      <c r="R34" s="15" t="s">
        <v>504</v>
      </c>
      <c r="S34" s="19">
        <v>2</v>
      </c>
      <c r="T34" s="19">
        <v>2</v>
      </c>
      <c r="U34" s="19">
        <v>2</v>
      </c>
      <c r="V34" s="19">
        <v>5</v>
      </c>
      <c r="W34" s="19">
        <v>5</v>
      </c>
      <c r="X34" s="41"/>
      <c r="Y34" s="41"/>
      <c r="Z34" s="41"/>
      <c r="AA34" s="41"/>
      <c r="AB34" s="41"/>
      <c r="AC34" s="41"/>
      <c r="AD34" s="41"/>
      <c r="AE34" s="41"/>
      <c r="AF34" s="41"/>
      <c r="AG34" s="41"/>
      <c r="AH34" s="41"/>
      <c r="AI34" s="41"/>
      <c r="AJ34" s="41"/>
      <c r="AK34" s="41"/>
      <c r="AL34" s="41"/>
      <c r="AM34" s="41"/>
    </row>
    <row r="35" spans="1:39">
      <c r="A35" s="41">
        <v>37</v>
      </c>
      <c r="B35" s="41">
        <v>191</v>
      </c>
      <c r="C35" s="19">
        <v>7</v>
      </c>
      <c r="D35" s="15" t="s">
        <v>1321</v>
      </c>
      <c r="E35" s="41">
        <v>3</v>
      </c>
      <c r="F35" s="41">
        <v>2</v>
      </c>
      <c r="G35" s="41">
        <v>4</v>
      </c>
      <c r="H35" s="41">
        <v>5</v>
      </c>
      <c r="I35" s="41">
        <v>3</v>
      </c>
      <c r="J35" s="19">
        <v>4</v>
      </c>
      <c r="K35" s="15" t="s">
        <v>499</v>
      </c>
      <c r="L35" s="19">
        <v>4</v>
      </c>
      <c r="M35" s="19">
        <v>4</v>
      </c>
      <c r="N35" s="19">
        <v>3</v>
      </c>
      <c r="O35" s="19">
        <v>5</v>
      </c>
      <c r="P35" s="19">
        <v>5</v>
      </c>
      <c r="Q35" s="19">
        <v>6</v>
      </c>
      <c r="R35" s="15" t="s">
        <v>501</v>
      </c>
      <c r="S35" s="19">
        <v>4</v>
      </c>
      <c r="T35" s="19">
        <v>2</v>
      </c>
      <c r="U35" s="19">
        <v>2</v>
      </c>
      <c r="V35" s="19">
        <v>5</v>
      </c>
      <c r="W35" s="19">
        <v>5</v>
      </c>
      <c r="X35" s="41"/>
      <c r="Y35" s="41"/>
      <c r="Z35" s="41"/>
      <c r="AA35" s="41"/>
      <c r="AB35" s="41"/>
      <c r="AC35" s="41"/>
      <c r="AD35" s="41"/>
      <c r="AE35" s="41"/>
      <c r="AF35" s="41"/>
      <c r="AG35" s="41"/>
      <c r="AH35" s="41"/>
      <c r="AI35" s="41"/>
      <c r="AJ35" s="41"/>
      <c r="AK35" s="41"/>
      <c r="AL35" s="41"/>
      <c r="AM35" s="41"/>
    </row>
    <row r="36" spans="1:39">
      <c r="A36" s="41">
        <v>2</v>
      </c>
      <c r="B36" s="41">
        <v>192</v>
      </c>
      <c r="C36" s="19">
        <v>1</v>
      </c>
      <c r="D36" s="15" t="s">
        <v>497</v>
      </c>
      <c r="E36" s="41">
        <v>4</v>
      </c>
      <c r="F36" s="41">
        <v>5</v>
      </c>
      <c r="G36" s="41">
        <v>4</v>
      </c>
      <c r="H36" s="41">
        <v>5</v>
      </c>
      <c r="I36" s="41">
        <v>5</v>
      </c>
      <c r="J36" s="19">
        <v>16</v>
      </c>
      <c r="K36" s="15" t="s">
        <v>509</v>
      </c>
      <c r="L36" s="19">
        <v>2</v>
      </c>
      <c r="M36" s="19">
        <v>4</v>
      </c>
      <c r="N36" s="19">
        <v>4</v>
      </c>
      <c r="O36" s="19">
        <v>5</v>
      </c>
      <c r="P36" s="19">
        <v>5</v>
      </c>
      <c r="Q36" s="19">
        <v>4</v>
      </c>
      <c r="R36" s="15" t="s">
        <v>499</v>
      </c>
      <c r="S36" s="19">
        <v>4</v>
      </c>
      <c r="T36" s="19">
        <v>5</v>
      </c>
      <c r="U36" s="19">
        <v>4</v>
      </c>
      <c r="V36" s="19">
        <v>5</v>
      </c>
      <c r="W36" s="19">
        <v>5</v>
      </c>
      <c r="X36" s="41"/>
      <c r="Y36" s="41"/>
      <c r="Z36" s="41"/>
      <c r="AA36" s="41"/>
      <c r="AB36" s="41"/>
      <c r="AC36" s="41"/>
      <c r="AD36" s="41"/>
      <c r="AE36" s="41"/>
      <c r="AF36" s="41"/>
      <c r="AG36" s="41"/>
      <c r="AH36" s="41"/>
      <c r="AI36" s="41"/>
      <c r="AJ36" s="41"/>
      <c r="AK36" s="41"/>
      <c r="AL36" s="41"/>
      <c r="AM36" s="41"/>
    </row>
    <row r="37" spans="1:39">
      <c r="A37" s="41">
        <v>33</v>
      </c>
      <c r="B37" s="41">
        <v>193</v>
      </c>
      <c r="C37" s="19">
        <v>5</v>
      </c>
      <c r="D37" s="15" t="s">
        <v>500</v>
      </c>
      <c r="E37" s="41">
        <v>4</v>
      </c>
      <c r="F37" s="41">
        <v>4</v>
      </c>
      <c r="G37" s="41">
        <v>5</v>
      </c>
      <c r="H37" s="41">
        <v>5</v>
      </c>
      <c r="I37" s="41">
        <v>5</v>
      </c>
      <c r="J37" s="19">
        <v>7</v>
      </c>
      <c r="K37" s="15" t="s">
        <v>1321</v>
      </c>
      <c r="L37" s="19">
        <v>5</v>
      </c>
      <c r="M37" s="19">
        <v>5</v>
      </c>
      <c r="N37" s="19">
        <v>4</v>
      </c>
      <c r="O37" s="19">
        <v>5</v>
      </c>
      <c r="P37" s="19">
        <v>5</v>
      </c>
      <c r="Q37" s="19">
        <v>15</v>
      </c>
      <c r="R37" s="15" t="s">
        <v>508</v>
      </c>
      <c r="S37" s="19">
        <v>4</v>
      </c>
      <c r="T37" s="19">
        <v>4</v>
      </c>
      <c r="U37" s="19">
        <v>5</v>
      </c>
      <c r="V37" s="19">
        <v>5</v>
      </c>
      <c r="W37" s="19">
        <v>5</v>
      </c>
      <c r="X37" s="41"/>
      <c r="Y37" s="41"/>
      <c r="Z37" s="41"/>
      <c r="AA37" s="41"/>
      <c r="AB37" s="41"/>
      <c r="AC37" s="41"/>
      <c r="AD37" s="41"/>
      <c r="AE37" s="41"/>
      <c r="AF37" s="41"/>
      <c r="AG37" s="41"/>
      <c r="AH37" s="41"/>
      <c r="AI37" s="41"/>
      <c r="AJ37" s="41"/>
      <c r="AK37" s="41"/>
      <c r="AL37" s="41"/>
      <c r="AM37" s="41"/>
    </row>
    <row r="38" spans="1:39">
      <c r="A38" s="41">
        <v>28</v>
      </c>
      <c r="B38" s="41">
        <v>196</v>
      </c>
      <c r="C38" s="19">
        <v>13</v>
      </c>
      <c r="D38" s="15" t="s">
        <v>506</v>
      </c>
      <c r="E38" s="41">
        <v>4</v>
      </c>
      <c r="F38" s="41">
        <v>4</v>
      </c>
      <c r="G38" s="41">
        <v>3</v>
      </c>
      <c r="H38" s="41">
        <v>5</v>
      </c>
      <c r="I38" s="41">
        <v>5</v>
      </c>
      <c r="J38" s="19">
        <v>10</v>
      </c>
      <c r="K38" s="15" t="s">
        <v>1322</v>
      </c>
      <c r="L38" s="19">
        <v>5</v>
      </c>
      <c r="M38" s="19">
        <v>5</v>
      </c>
      <c r="N38" s="19">
        <v>4</v>
      </c>
      <c r="O38" s="19">
        <v>5</v>
      </c>
      <c r="P38" s="19">
        <v>5</v>
      </c>
      <c r="Q38" s="19">
        <v>1</v>
      </c>
      <c r="R38" s="15" t="s">
        <v>497</v>
      </c>
      <c r="S38" s="19">
        <v>3</v>
      </c>
      <c r="T38" s="19">
        <v>4</v>
      </c>
      <c r="U38" s="19">
        <v>3</v>
      </c>
      <c r="V38" s="19">
        <v>5</v>
      </c>
      <c r="W38" s="19">
        <v>5</v>
      </c>
      <c r="X38" s="41"/>
      <c r="Y38" s="41"/>
      <c r="Z38" s="41"/>
      <c r="AA38" s="41"/>
      <c r="AB38" s="41"/>
      <c r="AC38" s="41"/>
      <c r="AD38" s="41"/>
      <c r="AE38" s="41"/>
      <c r="AF38" s="41"/>
      <c r="AG38" s="41"/>
      <c r="AH38" s="41"/>
      <c r="AI38" s="41"/>
      <c r="AJ38" s="41"/>
      <c r="AK38" s="41"/>
      <c r="AL38" s="41"/>
      <c r="AM38" s="41"/>
    </row>
    <row r="39" spans="1:39">
      <c r="A39" s="41">
        <v>29</v>
      </c>
      <c r="B39" s="41">
        <v>197</v>
      </c>
      <c r="C39" s="19">
        <v>9</v>
      </c>
      <c r="D39" s="15" t="s">
        <v>503</v>
      </c>
      <c r="E39" s="41">
        <v>4</v>
      </c>
      <c r="F39" s="41">
        <v>5</v>
      </c>
      <c r="G39" s="41">
        <v>4</v>
      </c>
      <c r="H39" s="41">
        <v>5</v>
      </c>
      <c r="I39" s="41">
        <v>5</v>
      </c>
      <c r="J39" s="19">
        <v>5</v>
      </c>
      <c r="K39" s="15" t="s">
        <v>500</v>
      </c>
      <c r="L39" s="19">
        <v>4</v>
      </c>
      <c r="M39" s="19">
        <v>5</v>
      </c>
      <c r="N39" s="19">
        <v>4</v>
      </c>
      <c r="O39" s="19">
        <v>5</v>
      </c>
      <c r="P39" s="19">
        <v>5</v>
      </c>
      <c r="Q39" s="19">
        <v>14</v>
      </c>
      <c r="R39" s="15" t="s">
        <v>507</v>
      </c>
      <c r="S39" s="19">
        <v>4</v>
      </c>
      <c r="T39" s="19">
        <v>5</v>
      </c>
      <c r="U39" s="19">
        <v>5</v>
      </c>
      <c r="V39" s="19">
        <v>5</v>
      </c>
      <c r="W39" s="19">
        <v>5</v>
      </c>
      <c r="X39" s="41"/>
      <c r="Y39" s="41"/>
      <c r="Z39" s="41"/>
      <c r="AA39" s="41"/>
      <c r="AB39" s="41"/>
      <c r="AC39" s="41"/>
      <c r="AD39" s="41"/>
      <c r="AE39" s="41"/>
      <c r="AF39" s="41"/>
      <c r="AG39" s="41"/>
      <c r="AH39" s="41"/>
      <c r="AI39" s="41"/>
      <c r="AJ39" s="41"/>
      <c r="AK39" s="41"/>
      <c r="AL39" s="41"/>
      <c r="AM39" s="41"/>
    </row>
    <row r="40" spans="1:39">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row>
    <row r="41" spans="1:39">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row>
    <row r="42" spans="1:39">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row>
    <row r="43" spans="1:39">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row>
    <row r="44" spans="1:39">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row>
    <row r="45" spans="1:39">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row>
    <row r="46" spans="1:39">
      <c r="A46" s="42"/>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row>
    <row r="47" spans="1:39">
      <c r="A47" s="42"/>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row>
    <row r="48" spans="1:39">
      <c r="A48" s="42"/>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row>
    <row r="49" spans="1:3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row>
    <row r="50" spans="1:39">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row>
    <row r="51" spans="1:39">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row>
    <row r="52" spans="1:39">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row>
  </sheetData>
  <sortState xmlns:xlrd2="http://schemas.microsoft.com/office/spreadsheetml/2017/richdata2" ref="A2:W39">
    <sortCondition ref="B2:B39"/>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A5E93-F728-4D8E-978E-DA035880E2D9}">
  <sheetPr>
    <tabColor rgb="FF00B050"/>
  </sheetPr>
  <dimension ref="A1:C24"/>
  <sheetViews>
    <sheetView workbookViewId="0">
      <selection activeCell="A2" sqref="A2:C24"/>
    </sheetView>
  </sheetViews>
  <sheetFormatPr defaultRowHeight="15"/>
  <sheetData>
    <row r="1" spans="1:3">
      <c r="A1" s="8" t="s">
        <v>1198</v>
      </c>
      <c r="B1" s="8" t="s">
        <v>1197</v>
      </c>
      <c r="C1" s="8" t="s">
        <v>1316</v>
      </c>
    </row>
    <row r="2" spans="1:3">
      <c r="A2" t="s">
        <v>1195</v>
      </c>
      <c r="B2" t="s">
        <v>1192</v>
      </c>
    </row>
    <row r="3" spans="1:3">
      <c r="A3" t="s">
        <v>1021</v>
      </c>
      <c r="B3" t="s">
        <v>1258</v>
      </c>
      <c r="C3" t="s">
        <v>1259</v>
      </c>
    </row>
    <row r="4" spans="1:3">
      <c r="A4" t="s">
        <v>1020</v>
      </c>
      <c r="B4" t="s">
        <v>1258</v>
      </c>
      <c r="C4" t="s">
        <v>1260</v>
      </c>
    </row>
    <row r="5" spans="1:3">
      <c r="A5" t="s">
        <v>1019</v>
      </c>
      <c r="B5" t="s">
        <v>1258</v>
      </c>
      <c r="C5" t="s">
        <v>1261</v>
      </c>
    </row>
    <row r="6" spans="1:3">
      <c r="A6" t="s">
        <v>1018</v>
      </c>
      <c r="B6" t="s">
        <v>1258</v>
      </c>
      <c r="C6" t="s">
        <v>1262</v>
      </c>
    </row>
    <row r="7" spans="1:3">
      <c r="A7" t="s">
        <v>1017</v>
      </c>
      <c r="B7" t="s">
        <v>1258</v>
      </c>
      <c r="C7" t="s">
        <v>1263</v>
      </c>
    </row>
    <row r="8" spans="1:3">
      <c r="A8" t="s">
        <v>371</v>
      </c>
      <c r="B8" t="s">
        <v>1191</v>
      </c>
    </row>
    <row r="9" spans="1:3">
      <c r="A9" t="s">
        <v>997</v>
      </c>
      <c r="B9" t="s">
        <v>1317</v>
      </c>
      <c r="C9" t="s">
        <v>1259</v>
      </c>
    </row>
    <row r="10" spans="1:3">
      <c r="A10" t="s">
        <v>996</v>
      </c>
      <c r="B10" t="s">
        <v>1317</v>
      </c>
      <c r="C10" t="s">
        <v>1260</v>
      </c>
    </row>
    <row r="11" spans="1:3">
      <c r="A11" t="s">
        <v>995</v>
      </c>
      <c r="B11" t="s">
        <v>1317</v>
      </c>
      <c r="C11" t="s">
        <v>1261</v>
      </c>
    </row>
    <row r="12" spans="1:3">
      <c r="A12" t="s">
        <v>994</v>
      </c>
      <c r="B12" t="s">
        <v>1317</v>
      </c>
      <c r="C12" t="s">
        <v>1262</v>
      </c>
    </row>
    <row r="13" spans="1:3">
      <c r="A13" t="s">
        <v>993</v>
      </c>
      <c r="B13" t="s">
        <v>1317</v>
      </c>
      <c r="C13" t="s">
        <v>1263</v>
      </c>
    </row>
    <row r="14" spans="1:3">
      <c r="A14" t="s">
        <v>377</v>
      </c>
      <c r="B14" t="s">
        <v>1190</v>
      </c>
    </row>
    <row r="15" spans="1:3">
      <c r="A15" t="s">
        <v>979</v>
      </c>
      <c r="B15" t="s">
        <v>1318</v>
      </c>
      <c r="C15" t="s">
        <v>1259</v>
      </c>
    </row>
    <row r="16" spans="1:3">
      <c r="A16" t="s">
        <v>978</v>
      </c>
      <c r="B16" t="s">
        <v>1318</v>
      </c>
      <c r="C16" t="s">
        <v>1260</v>
      </c>
    </row>
    <row r="17" spans="1:3">
      <c r="A17" t="s">
        <v>977</v>
      </c>
      <c r="B17" t="s">
        <v>1318</v>
      </c>
      <c r="C17" t="s">
        <v>1261</v>
      </c>
    </row>
    <row r="18" spans="1:3">
      <c r="A18" t="s">
        <v>976</v>
      </c>
      <c r="B18" t="s">
        <v>1318</v>
      </c>
      <c r="C18" t="s">
        <v>1262</v>
      </c>
    </row>
    <row r="19" spans="1:3">
      <c r="A19" t="s">
        <v>975</v>
      </c>
      <c r="B19" t="s">
        <v>1318</v>
      </c>
      <c r="C19" t="s">
        <v>1263</v>
      </c>
    </row>
    <row r="20" spans="1:3">
      <c r="A20" t="s">
        <v>1194</v>
      </c>
      <c r="B20" t="s">
        <v>1189</v>
      </c>
    </row>
    <row r="21" spans="1:3">
      <c r="A21" t="s">
        <v>1193</v>
      </c>
      <c r="B21" t="s">
        <v>1188</v>
      </c>
    </row>
    <row r="22" spans="1:3">
      <c r="A22" t="s">
        <v>568</v>
      </c>
      <c r="B22" t="s">
        <v>1187</v>
      </c>
    </row>
    <row r="23" spans="1:3">
      <c r="A23" t="s">
        <v>567</v>
      </c>
      <c r="B23" t="s">
        <v>1186</v>
      </c>
    </row>
    <row r="24" spans="1:3">
      <c r="A24" t="s">
        <v>566</v>
      </c>
      <c r="B24" t="s">
        <v>1185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A23D8-5C3E-4281-AE0D-F61F9F538DCC}">
  <dimension ref="A1:F19"/>
  <sheetViews>
    <sheetView workbookViewId="0"/>
  </sheetViews>
  <sheetFormatPr defaultRowHeight="15"/>
  <cols>
    <col min="1" max="1" width="32" style="28" customWidth="1"/>
    <col min="2" max="2" width="18" style="28" customWidth="1"/>
    <col min="3" max="3" width="24.85546875" style="28" customWidth="1"/>
    <col min="4" max="4" width="9.140625" style="28"/>
    <col min="5" max="5" width="45" style="28" bestFit="1" customWidth="1"/>
    <col min="6" max="16384" width="9.140625" style="28"/>
  </cols>
  <sheetData>
    <row r="1" spans="1:5">
      <c r="A1" s="30" t="s">
        <v>1341</v>
      </c>
      <c r="B1" s="46" t="s">
        <v>1339</v>
      </c>
      <c r="C1" s="46" t="s">
        <v>1340</v>
      </c>
    </row>
    <row r="2" spans="1:5">
      <c r="A2" s="28" t="s">
        <v>1323</v>
      </c>
      <c r="B2" s="47">
        <v>4</v>
      </c>
      <c r="C2" s="47">
        <v>1</v>
      </c>
      <c r="E2"/>
    </row>
    <row r="3" spans="1:5">
      <c r="A3" s="28" t="s">
        <v>1324</v>
      </c>
      <c r="B3" s="47">
        <v>5</v>
      </c>
      <c r="C3" s="47">
        <v>3</v>
      </c>
      <c r="E3"/>
    </row>
    <row r="4" spans="1:5">
      <c r="A4" s="28" t="s">
        <v>1325</v>
      </c>
      <c r="B4" s="47">
        <v>6</v>
      </c>
      <c r="C4" s="47">
        <v>4</v>
      </c>
      <c r="E4"/>
    </row>
    <row r="5" spans="1:5">
      <c r="A5" s="28" t="s">
        <v>1326</v>
      </c>
      <c r="B5" s="47">
        <v>7</v>
      </c>
      <c r="C5" s="47">
        <v>5</v>
      </c>
      <c r="E5"/>
    </row>
    <row r="6" spans="1:5">
      <c r="A6" s="28" t="s">
        <v>1327</v>
      </c>
      <c r="B6" s="47">
        <v>8</v>
      </c>
      <c r="C6" s="47">
        <v>6</v>
      </c>
      <c r="E6"/>
    </row>
    <row r="7" spans="1:5">
      <c r="A7" s="28" t="s">
        <v>1328</v>
      </c>
      <c r="B7" s="47">
        <v>9</v>
      </c>
      <c r="C7" s="47">
        <v>7</v>
      </c>
      <c r="E7"/>
    </row>
    <row r="8" spans="1:5">
      <c r="A8" s="28" t="s">
        <v>1329</v>
      </c>
      <c r="B8" s="47">
        <v>10</v>
      </c>
      <c r="C8" s="47">
        <v>8</v>
      </c>
      <c r="E8"/>
    </row>
    <row r="9" spans="1:5">
      <c r="A9" s="28" t="s">
        <v>1330</v>
      </c>
      <c r="B9" s="47">
        <v>11</v>
      </c>
      <c r="C9" s="47">
        <v>9</v>
      </c>
      <c r="E9"/>
    </row>
    <row r="10" spans="1:5">
      <c r="A10" s="28" t="s">
        <v>1331</v>
      </c>
      <c r="B10" s="47">
        <v>12</v>
      </c>
      <c r="C10" s="47">
        <v>10</v>
      </c>
      <c r="E10"/>
    </row>
    <row r="11" spans="1:5">
      <c r="A11" s="28" t="s">
        <v>1332</v>
      </c>
      <c r="B11" s="47">
        <v>13</v>
      </c>
      <c r="C11" s="47">
        <v>11</v>
      </c>
    </row>
    <row r="12" spans="1:5">
      <c r="A12" s="28" t="s">
        <v>1333</v>
      </c>
      <c r="B12" s="47">
        <v>19</v>
      </c>
      <c r="C12" s="47">
        <v>12</v>
      </c>
      <c r="E12"/>
    </row>
    <row r="13" spans="1:5">
      <c r="A13" s="28" t="s">
        <v>1334</v>
      </c>
      <c r="B13" s="47">
        <v>14</v>
      </c>
      <c r="C13" s="47">
        <v>13</v>
      </c>
      <c r="E13"/>
    </row>
    <row r="14" spans="1:5">
      <c r="A14" s="28" t="s">
        <v>1335</v>
      </c>
      <c r="B14" s="47">
        <v>15</v>
      </c>
      <c r="C14" s="47">
        <v>14</v>
      </c>
      <c r="E14"/>
    </row>
    <row r="15" spans="1:5">
      <c r="A15" s="28" t="s">
        <v>1336</v>
      </c>
      <c r="B15" s="47">
        <v>16</v>
      </c>
      <c r="C15" s="47">
        <v>15</v>
      </c>
      <c r="E15"/>
    </row>
    <row r="16" spans="1:5">
      <c r="A16" s="28" t="s">
        <v>1337</v>
      </c>
      <c r="B16" s="47">
        <v>17</v>
      </c>
      <c r="C16" s="47">
        <v>16</v>
      </c>
      <c r="E16"/>
    </row>
    <row r="17" spans="1:6">
      <c r="A17" s="28" t="s">
        <v>1338</v>
      </c>
      <c r="B17" s="47">
        <v>18</v>
      </c>
      <c r="C17" s="47">
        <v>17</v>
      </c>
      <c r="E17"/>
    </row>
    <row r="18" spans="1:6">
      <c r="E18"/>
      <c r="F18"/>
    </row>
    <row r="19" spans="1:6">
      <c r="E19"/>
      <c r="F1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E8F26-6669-4685-B6CF-DBE63735FC11}">
  <dimension ref="A1:AA37"/>
  <sheetViews>
    <sheetView workbookViewId="0">
      <selection activeCell="Q1" sqref="Q1"/>
    </sheetView>
  </sheetViews>
  <sheetFormatPr defaultRowHeight="15"/>
  <cols>
    <col min="1" max="16384" width="9.140625" style="28"/>
  </cols>
  <sheetData>
    <row r="1" spans="1:27">
      <c r="A1" s="36" t="s">
        <v>1196</v>
      </c>
      <c r="B1" s="31" t="s">
        <v>1364</v>
      </c>
      <c r="C1" s="31" t="s">
        <v>1195</v>
      </c>
      <c r="D1" s="31" t="s">
        <v>1021</v>
      </c>
      <c r="E1" s="31" t="s">
        <v>1020</v>
      </c>
      <c r="F1" s="31" t="s">
        <v>1019</v>
      </c>
      <c r="G1" s="31" t="s">
        <v>1018</v>
      </c>
      <c r="H1" s="31" t="s">
        <v>1017</v>
      </c>
      <c r="I1" s="31" t="s">
        <v>1365</v>
      </c>
      <c r="J1" s="31" t="s">
        <v>371</v>
      </c>
      <c r="K1" s="31" t="s">
        <v>997</v>
      </c>
      <c r="L1" s="31" t="s">
        <v>996</v>
      </c>
      <c r="M1" s="31" t="s">
        <v>995</v>
      </c>
      <c r="N1" s="31" t="s">
        <v>994</v>
      </c>
      <c r="O1" s="31" t="s">
        <v>993</v>
      </c>
      <c r="P1" s="31" t="s">
        <v>1366</v>
      </c>
      <c r="Q1" s="31" t="s">
        <v>377</v>
      </c>
      <c r="R1" s="31" t="s">
        <v>979</v>
      </c>
      <c r="S1" s="31" t="s">
        <v>978</v>
      </c>
      <c r="T1" s="31" t="s">
        <v>977</v>
      </c>
      <c r="U1" s="31" t="s">
        <v>976</v>
      </c>
      <c r="V1" s="31" t="s">
        <v>975</v>
      </c>
      <c r="W1" s="31" t="s">
        <v>1194</v>
      </c>
      <c r="X1" s="31" t="s">
        <v>1193</v>
      </c>
      <c r="Y1" s="31" t="s">
        <v>568</v>
      </c>
      <c r="Z1" s="31" t="s">
        <v>567</v>
      </c>
      <c r="AA1" s="31" t="s">
        <v>566</v>
      </c>
    </row>
    <row r="2" spans="1:27">
      <c r="A2" s="33">
        <v>151</v>
      </c>
      <c r="B2" s="28">
        <v>1</v>
      </c>
      <c r="D2" s="28">
        <v>4</v>
      </c>
      <c r="E2" s="28">
        <v>4</v>
      </c>
      <c r="F2" s="28">
        <v>4</v>
      </c>
      <c r="G2" s="28">
        <v>4</v>
      </c>
      <c r="H2" s="28">
        <v>4</v>
      </c>
      <c r="I2" s="28">
        <v>17</v>
      </c>
      <c r="K2" s="28">
        <v>5</v>
      </c>
      <c r="L2" s="28">
        <v>4</v>
      </c>
      <c r="M2" s="28">
        <v>4</v>
      </c>
      <c r="N2" s="28">
        <v>4</v>
      </c>
      <c r="O2" s="28">
        <v>4</v>
      </c>
      <c r="P2" s="28">
        <v>8</v>
      </c>
      <c r="R2" s="28">
        <v>4</v>
      </c>
      <c r="S2" s="28">
        <v>4</v>
      </c>
      <c r="T2" s="28">
        <v>4</v>
      </c>
      <c r="U2" s="28">
        <v>4</v>
      </c>
      <c r="V2" s="28">
        <v>4</v>
      </c>
      <c r="W2" s="32" t="s">
        <v>1176</v>
      </c>
      <c r="X2" s="32" t="s">
        <v>1175</v>
      </c>
      <c r="Y2" s="32" t="s">
        <v>1174</v>
      </c>
      <c r="Z2" s="32" t="s">
        <v>1173</v>
      </c>
      <c r="AA2" s="32" t="s">
        <v>1172</v>
      </c>
    </row>
    <row r="3" spans="1:27">
      <c r="A3" s="28">
        <v>154</v>
      </c>
      <c r="B3" s="28">
        <v>1</v>
      </c>
      <c r="D3" s="28">
        <v>4</v>
      </c>
      <c r="E3" s="28">
        <v>4</v>
      </c>
      <c r="F3" s="28">
        <v>3</v>
      </c>
      <c r="G3" s="28">
        <v>5</v>
      </c>
      <c r="H3" s="28">
        <v>4</v>
      </c>
      <c r="I3" s="28">
        <v>3</v>
      </c>
      <c r="K3" s="28">
        <v>5</v>
      </c>
      <c r="L3" s="28">
        <v>5</v>
      </c>
      <c r="M3" s="28">
        <v>5</v>
      </c>
      <c r="N3" s="28">
        <v>5</v>
      </c>
      <c r="O3" s="28">
        <v>5</v>
      </c>
      <c r="P3" s="28">
        <v>7</v>
      </c>
      <c r="R3" s="28">
        <v>4</v>
      </c>
      <c r="S3" s="28">
        <v>4</v>
      </c>
      <c r="T3" s="28">
        <v>3</v>
      </c>
      <c r="U3" s="28">
        <v>4</v>
      </c>
      <c r="V3" s="28">
        <v>4</v>
      </c>
      <c r="W3" s="32" t="s">
        <v>1072</v>
      </c>
      <c r="X3" s="32" t="s">
        <v>1071</v>
      </c>
      <c r="Y3" s="32" t="s">
        <v>1070</v>
      </c>
      <c r="Z3" s="32" t="s">
        <v>1069</v>
      </c>
      <c r="AA3" s="32" t="s">
        <v>1068</v>
      </c>
    </row>
    <row r="4" spans="1:27">
      <c r="A4" s="29">
        <v>161</v>
      </c>
      <c r="B4" s="28">
        <v>1</v>
      </c>
      <c r="D4" s="28">
        <v>5</v>
      </c>
      <c r="E4" s="28">
        <v>4</v>
      </c>
      <c r="F4" s="28">
        <v>5</v>
      </c>
      <c r="G4" s="28">
        <v>5</v>
      </c>
      <c r="H4" s="28">
        <v>5</v>
      </c>
      <c r="I4" s="28">
        <v>6</v>
      </c>
      <c r="K4" s="28">
        <v>5</v>
      </c>
      <c r="L4" s="28">
        <v>5</v>
      </c>
      <c r="M4" s="28">
        <v>5</v>
      </c>
      <c r="N4" s="28">
        <v>5</v>
      </c>
      <c r="O4" s="28">
        <v>5</v>
      </c>
      <c r="P4" s="28">
        <v>11</v>
      </c>
      <c r="R4" s="28">
        <v>5</v>
      </c>
      <c r="S4" s="28">
        <v>5</v>
      </c>
      <c r="T4" s="28">
        <v>5</v>
      </c>
      <c r="U4" s="28">
        <v>5</v>
      </c>
      <c r="V4" s="28">
        <v>5</v>
      </c>
      <c r="W4" s="32" t="s">
        <v>1042</v>
      </c>
      <c r="X4" s="32" t="s">
        <v>1041</v>
      </c>
      <c r="Y4" s="32" t="s">
        <v>1040</v>
      </c>
      <c r="Z4" s="39" t="s">
        <v>7</v>
      </c>
      <c r="AA4" s="32" t="s">
        <v>1039</v>
      </c>
    </row>
    <row r="5" spans="1:27">
      <c r="A5" s="29">
        <v>168</v>
      </c>
      <c r="B5" s="28">
        <v>1</v>
      </c>
      <c r="D5" s="28">
        <v>4</v>
      </c>
      <c r="E5" s="28">
        <v>4</v>
      </c>
      <c r="F5" s="28">
        <v>3</v>
      </c>
      <c r="G5" s="28">
        <v>4</v>
      </c>
      <c r="H5" s="28">
        <v>4</v>
      </c>
      <c r="I5" s="28">
        <v>16</v>
      </c>
      <c r="K5" s="28">
        <v>3</v>
      </c>
      <c r="L5" s="28">
        <v>3</v>
      </c>
      <c r="M5" s="28">
        <v>3</v>
      </c>
      <c r="N5" s="28">
        <v>4</v>
      </c>
      <c r="O5" s="28">
        <v>4</v>
      </c>
      <c r="P5" s="28">
        <v>12</v>
      </c>
      <c r="R5" s="28">
        <v>4</v>
      </c>
      <c r="S5" s="28">
        <v>4</v>
      </c>
      <c r="T5" s="28">
        <v>4</v>
      </c>
      <c r="U5" s="28">
        <v>4</v>
      </c>
      <c r="V5" s="28">
        <v>4</v>
      </c>
      <c r="W5" s="32" t="s">
        <v>1115</v>
      </c>
      <c r="X5" s="32" t="s">
        <v>1114</v>
      </c>
      <c r="Y5" s="32" t="s">
        <v>1113</v>
      </c>
      <c r="Z5" s="32" t="s">
        <v>1112</v>
      </c>
      <c r="AA5" s="32" t="s">
        <v>1111</v>
      </c>
    </row>
    <row r="6" spans="1:27">
      <c r="A6" s="29">
        <v>172</v>
      </c>
      <c r="B6" s="28">
        <v>1</v>
      </c>
      <c r="D6" s="28">
        <v>4</v>
      </c>
      <c r="E6" s="28">
        <v>3</v>
      </c>
      <c r="F6" s="28">
        <v>4</v>
      </c>
      <c r="G6" s="28">
        <v>4</v>
      </c>
      <c r="H6" s="28">
        <v>4</v>
      </c>
      <c r="I6" s="28">
        <v>3</v>
      </c>
      <c r="K6" s="28">
        <v>4</v>
      </c>
      <c r="L6" s="28">
        <v>4</v>
      </c>
      <c r="M6" s="28">
        <v>4</v>
      </c>
      <c r="N6" s="28">
        <v>4</v>
      </c>
      <c r="O6" s="28">
        <v>4</v>
      </c>
      <c r="P6" s="28">
        <v>17</v>
      </c>
      <c r="R6" s="28">
        <v>3</v>
      </c>
      <c r="S6" s="28">
        <v>4</v>
      </c>
      <c r="T6" s="28">
        <v>2</v>
      </c>
      <c r="U6" s="28">
        <v>4</v>
      </c>
      <c r="V6" s="28">
        <v>4</v>
      </c>
      <c r="W6" s="32" t="s">
        <v>1094</v>
      </c>
      <c r="X6" s="32" t="s">
        <v>1093</v>
      </c>
      <c r="Y6" s="39" t="s">
        <v>7</v>
      </c>
      <c r="Z6" s="32" t="s">
        <v>1092</v>
      </c>
      <c r="AA6" s="32" t="s">
        <v>1091</v>
      </c>
    </row>
    <row r="7" spans="1:27">
      <c r="A7" s="29">
        <v>182</v>
      </c>
      <c r="B7" s="28">
        <v>1</v>
      </c>
      <c r="D7" s="28">
        <v>4</v>
      </c>
      <c r="E7" s="28">
        <v>3</v>
      </c>
      <c r="F7" s="28">
        <v>3</v>
      </c>
      <c r="G7" s="28">
        <v>4</v>
      </c>
      <c r="H7" s="28">
        <v>4</v>
      </c>
      <c r="I7" s="28">
        <v>3</v>
      </c>
      <c r="K7" s="28">
        <v>5</v>
      </c>
      <c r="L7" s="28">
        <v>5</v>
      </c>
      <c r="M7" s="28">
        <v>5</v>
      </c>
      <c r="N7" s="28">
        <v>5</v>
      </c>
      <c r="O7" s="28">
        <v>5</v>
      </c>
      <c r="P7" s="28">
        <v>14</v>
      </c>
      <c r="R7" s="28">
        <v>4</v>
      </c>
      <c r="S7" s="28">
        <v>4</v>
      </c>
      <c r="T7" s="28">
        <v>4</v>
      </c>
      <c r="U7" s="28">
        <v>4</v>
      </c>
      <c r="V7" s="28">
        <v>5</v>
      </c>
      <c r="W7" s="32" t="s">
        <v>1065</v>
      </c>
      <c r="X7" s="32" t="s">
        <v>1064</v>
      </c>
      <c r="Y7" s="32" t="s">
        <v>1063</v>
      </c>
      <c r="Z7" s="32" t="s">
        <v>1062</v>
      </c>
      <c r="AA7" s="32" t="s">
        <v>1061</v>
      </c>
    </row>
    <row r="8" spans="1:27">
      <c r="A8" s="29">
        <v>192</v>
      </c>
      <c r="B8" s="28">
        <v>1</v>
      </c>
      <c r="D8" s="28">
        <v>4</v>
      </c>
      <c r="E8" s="28">
        <v>4</v>
      </c>
      <c r="F8" s="28">
        <v>4</v>
      </c>
      <c r="G8" s="28">
        <v>4</v>
      </c>
      <c r="H8" s="28">
        <v>4</v>
      </c>
      <c r="I8" s="28">
        <v>16</v>
      </c>
      <c r="K8" s="28">
        <v>4</v>
      </c>
      <c r="L8" s="28">
        <v>4</v>
      </c>
      <c r="M8" s="28">
        <v>4</v>
      </c>
      <c r="N8" s="28">
        <v>4</v>
      </c>
      <c r="O8" s="28">
        <v>4</v>
      </c>
      <c r="P8" s="28">
        <v>4</v>
      </c>
      <c r="R8" s="28">
        <v>4</v>
      </c>
      <c r="S8" s="28">
        <v>4</v>
      </c>
      <c r="T8" s="28">
        <v>4</v>
      </c>
      <c r="U8" s="28">
        <v>4</v>
      </c>
      <c r="V8" s="28">
        <v>4</v>
      </c>
      <c r="W8" s="32" t="s">
        <v>1125</v>
      </c>
      <c r="X8" s="32" t="s">
        <v>1124</v>
      </c>
      <c r="Y8" s="39" t="s">
        <v>7</v>
      </c>
      <c r="Z8" s="39" t="s">
        <v>7</v>
      </c>
      <c r="AA8" s="32" t="s">
        <v>1123</v>
      </c>
    </row>
    <row r="9" spans="1:27">
      <c r="A9" s="29">
        <v>155</v>
      </c>
      <c r="B9" s="28">
        <v>3</v>
      </c>
      <c r="D9" s="28">
        <v>4</v>
      </c>
      <c r="E9" s="28">
        <v>4</v>
      </c>
      <c r="F9" s="28">
        <v>2</v>
      </c>
      <c r="G9" s="28">
        <v>4</v>
      </c>
      <c r="H9" s="28">
        <v>4</v>
      </c>
      <c r="I9" s="28">
        <v>7</v>
      </c>
      <c r="K9" s="28">
        <v>4</v>
      </c>
      <c r="L9" s="28">
        <v>4</v>
      </c>
      <c r="M9" s="28">
        <v>4</v>
      </c>
      <c r="N9" s="28">
        <v>5</v>
      </c>
      <c r="O9" s="28">
        <v>4</v>
      </c>
      <c r="P9" s="28">
        <v>12</v>
      </c>
      <c r="R9" s="28">
        <v>4</v>
      </c>
      <c r="S9" s="28">
        <v>3</v>
      </c>
      <c r="T9" s="28">
        <v>3</v>
      </c>
      <c r="U9" s="28">
        <v>4</v>
      </c>
      <c r="V9" s="28">
        <v>4</v>
      </c>
      <c r="W9" s="32" t="s">
        <v>1102</v>
      </c>
      <c r="X9" s="32" t="s">
        <v>1101</v>
      </c>
      <c r="Y9" s="39" t="s">
        <v>7</v>
      </c>
      <c r="Z9" s="39" t="s">
        <v>7</v>
      </c>
      <c r="AA9" s="32" t="s">
        <v>1100</v>
      </c>
    </row>
    <row r="10" spans="1:27">
      <c r="A10" s="29">
        <v>159</v>
      </c>
      <c r="B10" s="28">
        <v>3</v>
      </c>
      <c r="D10" s="28">
        <v>5</v>
      </c>
      <c r="E10" s="28">
        <v>5</v>
      </c>
      <c r="F10" s="28">
        <v>5</v>
      </c>
      <c r="G10" s="28">
        <v>5</v>
      </c>
      <c r="H10" s="28">
        <v>5</v>
      </c>
      <c r="I10" s="28">
        <v>7</v>
      </c>
      <c r="K10" s="28">
        <v>5</v>
      </c>
      <c r="L10" s="28">
        <v>5</v>
      </c>
      <c r="M10" s="28">
        <v>5</v>
      </c>
      <c r="N10" s="28">
        <v>5</v>
      </c>
      <c r="O10" s="28">
        <v>5</v>
      </c>
      <c r="P10" s="28">
        <v>1</v>
      </c>
      <c r="R10" s="28">
        <v>4</v>
      </c>
      <c r="S10" s="28">
        <v>4</v>
      </c>
      <c r="T10" s="28">
        <v>4</v>
      </c>
      <c r="U10" s="28">
        <v>5</v>
      </c>
      <c r="V10" s="28">
        <v>5</v>
      </c>
      <c r="W10" s="32" t="s">
        <v>1107</v>
      </c>
      <c r="X10" s="32" t="s">
        <v>1106</v>
      </c>
      <c r="Y10" s="32" t="s">
        <v>1105</v>
      </c>
      <c r="Z10" s="32" t="s">
        <v>1104</v>
      </c>
      <c r="AA10" s="32" t="s">
        <v>1103</v>
      </c>
    </row>
    <row r="11" spans="1:27">
      <c r="A11" s="29">
        <v>163</v>
      </c>
      <c r="B11" s="28">
        <v>3</v>
      </c>
      <c r="D11" s="28">
        <v>4</v>
      </c>
      <c r="E11" s="28">
        <v>5</v>
      </c>
      <c r="F11" s="28">
        <v>4</v>
      </c>
      <c r="G11" s="28">
        <v>5</v>
      </c>
      <c r="H11" s="28">
        <v>5</v>
      </c>
      <c r="I11" s="28">
        <v>7</v>
      </c>
      <c r="K11" s="28">
        <v>4</v>
      </c>
      <c r="L11" s="28">
        <v>4</v>
      </c>
      <c r="M11" s="28">
        <v>3</v>
      </c>
      <c r="N11" s="28">
        <v>5</v>
      </c>
      <c r="O11" s="28">
        <v>5</v>
      </c>
      <c r="P11" s="28">
        <v>12</v>
      </c>
      <c r="R11" s="28">
        <v>5</v>
      </c>
      <c r="S11" s="28">
        <v>5</v>
      </c>
      <c r="T11" s="28">
        <v>5</v>
      </c>
      <c r="U11" s="28">
        <v>5</v>
      </c>
      <c r="V11" s="28">
        <v>5</v>
      </c>
      <c r="W11" s="32" t="s">
        <v>1076</v>
      </c>
      <c r="X11" s="32" t="s">
        <v>1075</v>
      </c>
      <c r="Y11" s="32" t="s">
        <v>1074</v>
      </c>
      <c r="Z11" s="39" t="s">
        <v>7</v>
      </c>
      <c r="AA11" s="32" t="s">
        <v>1073</v>
      </c>
    </row>
    <row r="12" spans="1:27">
      <c r="A12" s="29">
        <v>166</v>
      </c>
      <c r="B12" s="28">
        <v>3</v>
      </c>
      <c r="D12" s="28">
        <v>5</v>
      </c>
      <c r="E12" s="28">
        <v>4</v>
      </c>
      <c r="F12" s="28">
        <v>4</v>
      </c>
      <c r="G12" s="28">
        <v>4</v>
      </c>
      <c r="H12" s="28">
        <v>5</v>
      </c>
      <c r="I12" s="28">
        <v>7</v>
      </c>
      <c r="K12" s="28">
        <v>4</v>
      </c>
      <c r="L12" s="28">
        <v>5</v>
      </c>
      <c r="M12" s="28">
        <v>4</v>
      </c>
      <c r="N12" s="28">
        <v>5</v>
      </c>
      <c r="O12" s="28">
        <v>4</v>
      </c>
      <c r="P12" s="28">
        <v>12</v>
      </c>
      <c r="R12" s="28">
        <v>5</v>
      </c>
      <c r="S12" s="28">
        <v>5</v>
      </c>
      <c r="T12" s="28">
        <v>5</v>
      </c>
      <c r="U12" s="28">
        <v>4</v>
      </c>
      <c r="V12" s="28">
        <v>5</v>
      </c>
      <c r="W12" s="32" t="s">
        <v>1081</v>
      </c>
      <c r="X12" s="32" t="s">
        <v>1080</v>
      </c>
      <c r="Y12" s="32" t="s">
        <v>1079</v>
      </c>
      <c r="Z12" s="32" t="s">
        <v>1078</v>
      </c>
      <c r="AA12" s="32" t="s">
        <v>1077</v>
      </c>
    </row>
    <row r="13" spans="1:27">
      <c r="A13" s="33">
        <v>177</v>
      </c>
      <c r="B13" s="28">
        <v>3</v>
      </c>
      <c r="D13" s="28">
        <v>5</v>
      </c>
      <c r="E13" s="28">
        <v>5</v>
      </c>
      <c r="F13" s="28">
        <v>5</v>
      </c>
      <c r="G13" s="28">
        <v>5</v>
      </c>
      <c r="H13" s="28">
        <v>5</v>
      </c>
      <c r="I13" s="28">
        <v>5</v>
      </c>
      <c r="K13" s="28">
        <v>5</v>
      </c>
      <c r="L13" s="28">
        <v>5</v>
      </c>
      <c r="M13" s="28">
        <v>5</v>
      </c>
      <c r="N13" s="28">
        <v>5</v>
      </c>
      <c r="O13" s="28">
        <v>5</v>
      </c>
      <c r="P13" s="28">
        <v>7</v>
      </c>
      <c r="R13" s="28">
        <v>5</v>
      </c>
      <c r="S13" s="28">
        <v>5</v>
      </c>
      <c r="T13" s="28">
        <v>5</v>
      </c>
      <c r="U13" s="28">
        <v>5</v>
      </c>
      <c r="V13" s="28">
        <v>5</v>
      </c>
      <c r="W13" s="32" t="s">
        <v>1171</v>
      </c>
      <c r="X13" s="32" t="s">
        <v>1170</v>
      </c>
      <c r="Y13" s="32" t="s">
        <v>1169</v>
      </c>
      <c r="Z13" s="32" t="s">
        <v>1168</v>
      </c>
      <c r="AA13" s="32" t="s">
        <v>1167</v>
      </c>
    </row>
    <row r="14" spans="1:27">
      <c r="A14" s="29">
        <v>179</v>
      </c>
      <c r="B14" s="28">
        <v>3</v>
      </c>
      <c r="D14" s="28">
        <v>5</v>
      </c>
      <c r="E14" s="28">
        <v>5</v>
      </c>
      <c r="F14" s="28">
        <v>5</v>
      </c>
      <c r="G14" s="28">
        <v>5</v>
      </c>
      <c r="H14" s="28">
        <v>5</v>
      </c>
      <c r="I14" s="28">
        <v>14</v>
      </c>
      <c r="K14" s="28">
        <v>5</v>
      </c>
      <c r="L14" s="28">
        <v>5</v>
      </c>
      <c r="M14" s="28">
        <v>5</v>
      </c>
      <c r="N14" s="28">
        <v>5</v>
      </c>
      <c r="O14" s="28">
        <v>5</v>
      </c>
      <c r="P14" s="28">
        <v>9</v>
      </c>
      <c r="R14" s="28">
        <v>5</v>
      </c>
      <c r="S14" s="28">
        <v>5</v>
      </c>
      <c r="T14" s="28">
        <v>5</v>
      </c>
      <c r="U14" s="28">
        <v>5</v>
      </c>
      <c r="V14" s="28">
        <v>5</v>
      </c>
      <c r="W14" s="32" t="s">
        <v>485</v>
      </c>
      <c r="X14" s="32" t="s">
        <v>1179</v>
      </c>
      <c r="Y14" s="32" t="s">
        <v>602</v>
      </c>
      <c r="Z14" s="32" t="s">
        <v>1178</v>
      </c>
      <c r="AA14" s="32" t="s">
        <v>1177</v>
      </c>
    </row>
    <row r="15" spans="1:27">
      <c r="A15" s="29">
        <v>181</v>
      </c>
      <c r="B15" s="28">
        <v>3</v>
      </c>
      <c r="D15" s="28">
        <v>4</v>
      </c>
      <c r="E15" s="28">
        <v>4</v>
      </c>
      <c r="F15" s="28">
        <v>4</v>
      </c>
      <c r="G15" s="28">
        <v>4</v>
      </c>
      <c r="H15" s="28">
        <v>4</v>
      </c>
      <c r="I15" s="28">
        <v>12</v>
      </c>
      <c r="K15" s="28">
        <v>2</v>
      </c>
      <c r="L15" s="28">
        <v>4</v>
      </c>
      <c r="M15" s="28">
        <v>2</v>
      </c>
      <c r="N15" s="28">
        <v>4</v>
      </c>
      <c r="O15" s="28">
        <v>4</v>
      </c>
      <c r="P15" s="28">
        <v>5</v>
      </c>
      <c r="R15" s="28">
        <v>4</v>
      </c>
      <c r="S15" s="28">
        <v>4</v>
      </c>
      <c r="T15" s="28">
        <v>1</v>
      </c>
      <c r="U15" s="28">
        <v>4</v>
      </c>
      <c r="V15" s="28">
        <v>4</v>
      </c>
      <c r="W15" s="32" t="s">
        <v>1110</v>
      </c>
      <c r="X15" s="32" t="s">
        <v>1109</v>
      </c>
      <c r="Y15" s="32" t="s">
        <v>1108</v>
      </c>
      <c r="Z15" s="39" t="s">
        <v>7</v>
      </c>
      <c r="AA15" s="39" t="s">
        <v>7</v>
      </c>
    </row>
    <row r="16" spans="1:27">
      <c r="A16" s="29">
        <v>188</v>
      </c>
      <c r="B16" s="28">
        <v>3</v>
      </c>
      <c r="D16" s="28">
        <v>4</v>
      </c>
      <c r="E16" s="28">
        <v>4</v>
      </c>
      <c r="F16" s="28">
        <v>3</v>
      </c>
      <c r="G16" s="28">
        <v>5</v>
      </c>
      <c r="H16" s="28">
        <v>5</v>
      </c>
      <c r="I16" s="28">
        <v>12</v>
      </c>
      <c r="K16" s="28">
        <v>5</v>
      </c>
      <c r="L16" s="28">
        <v>5</v>
      </c>
      <c r="M16" s="28">
        <v>4</v>
      </c>
      <c r="N16" s="28">
        <v>5</v>
      </c>
      <c r="O16" s="28">
        <v>5</v>
      </c>
      <c r="P16" s="28">
        <v>14</v>
      </c>
      <c r="R16" s="28">
        <v>4</v>
      </c>
      <c r="S16" s="28">
        <v>5</v>
      </c>
      <c r="T16" s="28">
        <v>4</v>
      </c>
      <c r="U16" s="28">
        <v>5</v>
      </c>
      <c r="V16" s="28">
        <v>5</v>
      </c>
      <c r="W16" s="32" t="s">
        <v>1157</v>
      </c>
      <c r="X16" s="32" t="s">
        <v>1156</v>
      </c>
      <c r="Y16" s="32" t="s">
        <v>1155</v>
      </c>
      <c r="Z16" s="32" t="s">
        <v>1154</v>
      </c>
      <c r="AA16" s="32" t="s">
        <v>1153</v>
      </c>
    </row>
    <row r="17" spans="1:27">
      <c r="A17" s="29">
        <v>190</v>
      </c>
      <c r="B17" s="28">
        <v>3</v>
      </c>
      <c r="D17" s="28">
        <v>5</v>
      </c>
      <c r="E17" s="28">
        <v>5</v>
      </c>
      <c r="F17" s="28">
        <v>5</v>
      </c>
      <c r="G17" s="28">
        <v>5</v>
      </c>
      <c r="H17" s="28">
        <v>5</v>
      </c>
      <c r="I17" s="28">
        <v>6</v>
      </c>
      <c r="K17" s="28">
        <v>4</v>
      </c>
      <c r="L17" s="28">
        <v>4</v>
      </c>
      <c r="M17" s="28">
        <v>4</v>
      </c>
      <c r="N17" s="28">
        <v>4</v>
      </c>
      <c r="O17" s="28">
        <v>4</v>
      </c>
      <c r="P17" s="28">
        <v>14</v>
      </c>
      <c r="R17" s="28">
        <v>4</v>
      </c>
      <c r="S17" s="28">
        <v>5</v>
      </c>
      <c r="T17" s="28">
        <v>4</v>
      </c>
      <c r="U17" s="28">
        <v>4</v>
      </c>
      <c r="V17" s="28">
        <v>4</v>
      </c>
      <c r="W17" s="32" t="s">
        <v>1130</v>
      </c>
      <c r="X17" s="32" t="s">
        <v>1129</v>
      </c>
      <c r="Y17" s="32" t="s">
        <v>1128</v>
      </c>
      <c r="Z17" s="32" t="s">
        <v>1127</v>
      </c>
      <c r="AA17" s="32" t="s">
        <v>1126</v>
      </c>
    </row>
    <row r="18" spans="1:27">
      <c r="A18" s="29">
        <v>157</v>
      </c>
      <c r="B18" s="28">
        <v>4</v>
      </c>
      <c r="D18" s="28">
        <v>5</v>
      </c>
      <c r="E18" s="28">
        <v>4</v>
      </c>
      <c r="F18" s="28">
        <v>3</v>
      </c>
      <c r="G18" s="28">
        <v>4</v>
      </c>
      <c r="H18" s="28">
        <v>5</v>
      </c>
      <c r="I18" s="28">
        <v>10</v>
      </c>
      <c r="K18" s="28">
        <v>5</v>
      </c>
      <c r="L18" s="28">
        <v>5</v>
      </c>
      <c r="M18" s="28">
        <v>4</v>
      </c>
      <c r="N18" s="28">
        <v>4</v>
      </c>
      <c r="O18" s="28">
        <v>5</v>
      </c>
      <c r="P18" s="28">
        <v>11</v>
      </c>
      <c r="R18" s="28">
        <v>4</v>
      </c>
      <c r="S18" s="28">
        <v>4</v>
      </c>
      <c r="T18" s="28">
        <v>3</v>
      </c>
      <c r="U18" s="28">
        <v>4</v>
      </c>
      <c r="V18" s="28">
        <v>5</v>
      </c>
      <c r="W18" s="32" t="s">
        <v>1051</v>
      </c>
      <c r="X18" s="32" t="s">
        <v>1050</v>
      </c>
      <c r="Y18" s="39" t="s">
        <v>7</v>
      </c>
      <c r="Z18" s="32" t="s">
        <v>1049</v>
      </c>
      <c r="AA18" s="32" t="s">
        <v>1048</v>
      </c>
    </row>
    <row r="19" spans="1:27">
      <c r="A19" s="29">
        <v>180</v>
      </c>
      <c r="B19" s="28">
        <v>4</v>
      </c>
      <c r="D19" s="28">
        <v>4</v>
      </c>
      <c r="E19" s="28">
        <v>4</v>
      </c>
      <c r="F19" s="28">
        <v>4</v>
      </c>
      <c r="G19" s="28">
        <v>4</v>
      </c>
      <c r="H19" s="28">
        <v>4</v>
      </c>
      <c r="I19" s="28">
        <v>9</v>
      </c>
      <c r="K19" s="28">
        <v>4</v>
      </c>
      <c r="L19" s="28">
        <v>4</v>
      </c>
      <c r="M19" s="28">
        <v>4</v>
      </c>
      <c r="N19" s="28">
        <v>4</v>
      </c>
      <c r="O19" s="28">
        <v>4</v>
      </c>
      <c r="P19" s="28">
        <v>11</v>
      </c>
      <c r="R19" s="28">
        <v>4</v>
      </c>
      <c r="S19" s="28">
        <v>4</v>
      </c>
      <c r="T19" s="28">
        <v>4</v>
      </c>
      <c r="U19" s="28">
        <v>4</v>
      </c>
      <c r="V19" s="28">
        <v>4</v>
      </c>
      <c r="W19" s="32" t="s">
        <v>1152</v>
      </c>
      <c r="X19" s="32" t="s">
        <v>1151</v>
      </c>
      <c r="Y19" s="32" t="s">
        <v>1150</v>
      </c>
      <c r="Z19" s="32" t="s">
        <v>1149</v>
      </c>
      <c r="AA19" s="32" t="s">
        <v>1148</v>
      </c>
    </row>
    <row r="20" spans="1:27">
      <c r="A20" s="29">
        <v>173</v>
      </c>
      <c r="B20" s="28">
        <v>5</v>
      </c>
      <c r="D20" s="28">
        <v>4</v>
      </c>
      <c r="E20" s="28">
        <v>5</v>
      </c>
      <c r="F20" s="28">
        <v>3</v>
      </c>
      <c r="G20" s="28">
        <v>5</v>
      </c>
      <c r="H20" s="28">
        <v>5</v>
      </c>
      <c r="I20" s="28">
        <v>12</v>
      </c>
      <c r="K20" s="28">
        <v>4</v>
      </c>
      <c r="L20" s="28">
        <v>5</v>
      </c>
      <c r="M20" s="28">
        <v>2</v>
      </c>
      <c r="N20" s="28">
        <v>4</v>
      </c>
      <c r="O20" s="28">
        <v>5</v>
      </c>
      <c r="P20" s="28">
        <v>9</v>
      </c>
      <c r="R20" s="28">
        <v>3</v>
      </c>
      <c r="S20" s="28">
        <v>3</v>
      </c>
      <c r="T20" s="28">
        <v>3</v>
      </c>
      <c r="U20" s="28">
        <v>5</v>
      </c>
      <c r="V20" s="28">
        <v>5</v>
      </c>
      <c r="W20" s="32" t="s">
        <v>1162</v>
      </c>
      <c r="X20" s="32" t="s">
        <v>1161</v>
      </c>
      <c r="Y20" s="32" t="s">
        <v>1160</v>
      </c>
      <c r="Z20" s="32" t="s">
        <v>1159</v>
      </c>
      <c r="AA20" s="32" t="s">
        <v>1158</v>
      </c>
    </row>
    <row r="21" spans="1:27">
      <c r="A21" s="29">
        <v>193</v>
      </c>
      <c r="B21" s="28">
        <v>5</v>
      </c>
      <c r="D21" s="28">
        <v>5</v>
      </c>
      <c r="E21" s="28">
        <v>4</v>
      </c>
      <c r="F21" s="28">
        <v>5</v>
      </c>
      <c r="G21" s="28">
        <v>4</v>
      </c>
      <c r="H21" s="28">
        <v>5</v>
      </c>
      <c r="I21" s="28">
        <v>7</v>
      </c>
      <c r="K21" s="28">
        <v>4</v>
      </c>
      <c r="L21" s="28">
        <v>4</v>
      </c>
      <c r="M21" s="28">
        <v>4</v>
      </c>
      <c r="N21" s="28">
        <v>4</v>
      </c>
      <c r="O21" s="28">
        <v>5</v>
      </c>
      <c r="P21" s="28">
        <v>15</v>
      </c>
      <c r="R21" s="28">
        <v>5</v>
      </c>
      <c r="S21" s="28">
        <v>4</v>
      </c>
      <c r="T21" s="28">
        <v>5</v>
      </c>
      <c r="U21" s="28">
        <v>5</v>
      </c>
      <c r="V21" s="28">
        <v>5</v>
      </c>
      <c r="W21" s="32" t="s">
        <v>1099</v>
      </c>
      <c r="X21" s="32" t="s">
        <v>1098</v>
      </c>
      <c r="Y21" s="32" t="s">
        <v>1097</v>
      </c>
      <c r="Z21" s="32" t="s">
        <v>1096</v>
      </c>
      <c r="AA21" s="32" t="s">
        <v>1095</v>
      </c>
    </row>
    <row r="22" spans="1:27">
      <c r="A22" s="29">
        <v>191</v>
      </c>
      <c r="B22" s="28">
        <v>7</v>
      </c>
      <c r="D22" s="28">
        <v>4</v>
      </c>
      <c r="E22" s="28">
        <v>5</v>
      </c>
      <c r="F22" s="28">
        <v>5</v>
      </c>
      <c r="G22" s="28">
        <v>4</v>
      </c>
      <c r="H22" s="28">
        <v>5</v>
      </c>
      <c r="I22" s="28">
        <v>4</v>
      </c>
      <c r="K22" s="28">
        <v>4</v>
      </c>
      <c r="L22" s="28">
        <v>5</v>
      </c>
      <c r="M22" s="28">
        <v>4</v>
      </c>
      <c r="N22" s="28">
        <v>5</v>
      </c>
      <c r="O22" s="28">
        <v>5</v>
      </c>
      <c r="P22" s="28">
        <v>6</v>
      </c>
      <c r="R22" s="28">
        <v>3</v>
      </c>
      <c r="S22" s="28">
        <v>4</v>
      </c>
      <c r="T22" s="28">
        <v>2</v>
      </c>
      <c r="U22" s="28">
        <v>5</v>
      </c>
      <c r="V22" s="28">
        <v>5</v>
      </c>
      <c r="W22" s="39" t="s">
        <v>7</v>
      </c>
      <c r="X22" s="32" t="s">
        <v>1137</v>
      </c>
      <c r="Y22" s="32" t="s">
        <v>701</v>
      </c>
      <c r="Z22" s="39" t="s">
        <v>7</v>
      </c>
      <c r="AA22" s="32" t="s">
        <v>1136</v>
      </c>
    </row>
    <row r="23" spans="1:27">
      <c r="A23" s="29">
        <v>164</v>
      </c>
      <c r="B23" s="28">
        <v>8</v>
      </c>
      <c r="D23" s="28">
        <v>4</v>
      </c>
      <c r="E23" s="28">
        <v>4</v>
      </c>
      <c r="F23" s="28">
        <v>3</v>
      </c>
      <c r="G23" s="28">
        <v>4</v>
      </c>
      <c r="H23" s="28">
        <v>4</v>
      </c>
      <c r="I23" s="28">
        <v>16</v>
      </c>
      <c r="K23" s="28">
        <v>4</v>
      </c>
      <c r="L23" s="28">
        <v>4</v>
      </c>
      <c r="M23" s="28">
        <v>4</v>
      </c>
      <c r="N23" s="28">
        <v>4</v>
      </c>
      <c r="O23" s="28">
        <v>4</v>
      </c>
      <c r="P23" s="28">
        <v>5</v>
      </c>
      <c r="R23" s="28">
        <v>4</v>
      </c>
      <c r="S23" s="28">
        <v>4</v>
      </c>
      <c r="T23" s="28">
        <v>4</v>
      </c>
      <c r="U23" s="28">
        <v>4</v>
      </c>
      <c r="V23" s="28">
        <v>4</v>
      </c>
      <c r="W23" s="32" t="s">
        <v>1038</v>
      </c>
      <c r="X23" s="32" t="s">
        <v>1037</v>
      </c>
      <c r="Y23" s="32" t="s">
        <v>1036</v>
      </c>
      <c r="Z23" s="32" t="s">
        <v>1035</v>
      </c>
      <c r="AA23" s="32" t="s">
        <v>1034</v>
      </c>
    </row>
    <row r="24" spans="1:27">
      <c r="A24" s="29">
        <v>185</v>
      </c>
      <c r="B24" s="28">
        <v>8</v>
      </c>
      <c r="D24" s="28">
        <v>5</v>
      </c>
      <c r="E24" s="28">
        <v>5</v>
      </c>
      <c r="F24" s="28">
        <v>5</v>
      </c>
      <c r="G24" s="28">
        <v>5</v>
      </c>
      <c r="H24" s="28">
        <v>5</v>
      </c>
      <c r="I24" s="28">
        <v>12</v>
      </c>
      <c r="K24" s="28">
        <v>5</v>
      </c>
      <c r="L24" s="28">
        <v>5</v>
      </c>
      <c r="M24" s="28">
        <v>5</v>
      </c>
      <c r="N24" s="28">
        <v>5</v>
      </c>
      <c r="O24" s="28">
        <v>5</v>
      </c>
      <c r="P24" s="28">
        <v>10</v>
      </c>
      <c r="R24" s="28">
        <v>5</v>
      </c>
      <c r="S24" s="28">
        <v>5</v>
      </c>
      <c r="T24" s="28">
        <v>5</v>
      </c>
      <c r="U24" s="28">
        <v>5</v>
      </c>
      <c r="V24" s="28">
        <v>5</v>
      </c>
      <c r="W24" s="32" t="s">
        <v>1047</v>
      </c>
      <c r="X24" s="32" t="s">
        <v>1046</v>
      </c>
      <c r="Y24" s="32" t="s">
        <v>1045</v>
      </c>
      <c r="Z24" s="32" t="s">
        <v>1044</v>
      </c>
      <c r="AA24" s="32" t="s">
        <v>1043</v>
      </c>
    </row>
    <row r="25" spans="1:27">
      <c r="A25" s="29">
        <v>150</v>
      </c>
      <c r="B25" s="28">
        <v>9</v>
      </c>
      <c r="D25" s="28">
        <v>4</v>
      </c>
      <c r="E25" s="28">
        <v>4</v>
      </c>
      <c r="F25" s="28">
        <v>5</v>
      </c>
      <c r="G25" s="28">
        <v>4</v>
      </c>
      <c r="H25" s="28">
        <v>4</v>
      </c>
      <c r="I25" s="28">
        <v>13</v>
      </c>
      <c r="K25" s="28">
        <v>5</v>
      </c>
      <c r="L25" s="28">
        <v>5</v>
      </c>
      <c r="M25" s="28">
        <v>5</v>
      </c>
      <c r="N25" s="28">
        <v>5</v>
      </c>
      <c r="O25" s="28">
        <v>5</v>
      </c>
      <c r="P25" s="28">
        <v>7</v>
      </c>
      <c r="R25" s="28">
        <v>5</v>
      </c>
      <c r="S25" s="28">
        <v>5</v>
      </c>
      <c r="T25" s="28">
        <v>5</v>
      </c>
      <c r="U25" s="28">
        <v>5</v>
      </c>
      <c r="V25" s="28">
        <v>5</v>
      </c>
      <c r="W25" s="32" t="s">
        <v>485</v>
      </c>
      <c r="X25" s="32" t="s">
        <v>1143</v>
      </c>
      <c r="Y25" s="39" t="s">
        <v>7</v>
      </c>
      <c r="Z25" s="32" t="s">
        <v>1142</v>
      </c>
      <c r="AA25" s="39" t="s">
        <v>7</v>
      </c>
    </row>
    <row r="26" spans="1:27">
      <c r="A26" s="29">
        <v>169</v>
      </c>
      <c r="B26" s="28">
        <v>9</v>
      </c>
      <c r="D26" s="28">
        <v>4</v>
      </c>
      <c r="E26" s="28">
        <v>4</v>
      </c>
      <c r="F26" s="28">
        <v>4</v>
      </c>
      <c r="G26" s="28">
        <v>4</v>
      </c>
      <c r="H26" s="28">
        <v>4</v>
      </c>
      <c r="I26" s="28">
        <v>1</v>
      </c>
      <c r="K26" s="28">
        <v>4</v>
      </c>
      <c r="L26" s="28">
        <v>4</v>
      </c>
      <c r="M26" s="28">
        <v>4</v>
      </c>
      <c r="N26" s="28">
        <v>4</v>
      </c>
      <c r="O26" s="28">
        <v>4</v>
      </c>
      <c r="P26" s="28">
        <v>11</v>
      </c>
      <c r="R26" s="28">
        <v>4</v>
      </c>
      <c r="S26" s="28">
        <v>3</v>
      </c>
      <c r="T26" s="28">
        <v>2</v>
      </c>
      <c r="U26" s="28">
        <v>5</v>
      </c>
      <c r="V26" s="28">
        <v>5</v>
      </c>
      <c r="W26" s="32" t="s">
        <v>1085</v>
      </c>
      <c r="X26" s="32" t="s">
        <v>1084</v>
      </c>
      <c r="Y26" s="32" t="s">
        <v>1083</v>
      </c>
      <c r="Z26" s="39" t="s">
        <v>7</v>
      </c>
      <c r="AA26" s="32" t="s">
        <v>1082</v>
      </c>
    </row>
    <row r="27" spans="1:27">
      <c r="A27" s="29">
        <v>171</v>
      </c>
      <c r="B27" s="28">
        <v>9</v>
      </c>
      <c r="D27" s="28">
        <v>5</v>
      </c>
      <c r="E27" s="28">
        <v>5</v>
      </c>
      <c r="F27" s="28">
        <v>5</v>
      </c>
      <c r="G27" s="28">
        <v>5</v>
      </c>
      <c r="H27" s="28">
        <v>5</v>
      </c>
      <c r="I27" s="28">
        <v>3</v>
      </c>
      <c r="K27" s="28">
        <v>5</v>
      </c>
      <c r="L27" s="28">
        <v>5</v>
      </c>
      <c r="M27" s="28">
        <v>5</v>
      </c>
      <c r="N27" s="28">
        <v>5</v>
      </c>
      <c r="O27" s="28">
        <v>5</v>
      </c>
      <c r="P27" s="28">
        <v>7</v>
      </c>
      <c r="R27" s="28">
        <v>5</v>
      </c>
      <c r="S27" s="28">
        <v>5</v>
      </c>
      <c r="T27" s="28">
        <v>5</v>
      </c>
      <c r="U27" s="28">
        <v>5</v>
      </c>
      <c r="V27" s="28">
        <v>5</v>
      </c>
      <c r="W27" s="32" t="s">
        <v>1119</v>
      </c>
      <c r="X27" s="32" t="s">
        <v>1118</v>
      </c>
      <c r="Y27" s="32" t="s">
        <v>418</v>
      </c>
      <c r="Z27" s="32" t="s">
        <v>1117</v>
      </c>
      <c r="AA27" s="32" t="s">
        <v>1116</v>
      </c>
    </row>
    <row r="28" spans="1:27">
      <c r="A28" s="29">
        <v>184</v>
      </c>
      <c r="B28" s="28">
        <v>9</v>
      </c>
      <c r="D28" s="28">
        <v>5</v>
      </c>
      <c r="E28" s="28">
        <v>5</v>
      </c>
      <c r="F28" s="28">
        <v>4</v>
      </c>
      <c r="G28" s="28">
        <v>5</v>
      </c>
      <c r="H28" s="28">
        <v>5</v>
      </c>
      <c r="I28" s="28">
        <v>13</v>
      </c>
      <c r="K28" s="28">
        <v>2</v>
      </c>
      <c r="L28" s="28">
        <v>4</v>
      </c>
      <c r="M28" s="28">
        <v>2</v>
      </c>
      <c r="N28" s="28">
        <v>5</v>
      </c>
      <c r="O28" s="28">
        <v>5</v>
      </c>
      <c r="P28" s="28">
        <v>1</v>
      </c>
      <c r="R28" s="28">
        <v>2</v>
      </c>
      <c r="S28" s="28">
        <v>4</v>
      </c>
      <c r="T28" s="28">
        <v>2</v>
      </c>
      <c r="U28" s="28">
        <v>5</v>
      </c>
      <c r="V28" s="28">
        <v>5</v>
      </c>
      <c r="W28" s="32" t="s">
        <v>1090</v>
      </c>
      <c r="X28" s="32" t="s">
        <v>1089</v>
      </c>
      <c r="Y28" s="32" t="s">
        <v>1088</v>
      </c>
      <c r="Z28" s="32" t="s">
        <v>1087</v>
      </c>
      <c r="AA28" s="32" t="s">
        <v>1086</v>
      </c>
    </row>
    <row r="29" spans="1:27">
      <c r="A29" s="29">
        <v>189</v>
      </c>
      <c r="B29" s="28">
        <v>9</v>
      </c>
      <c r="D29" s="28">
        <v>4</v>
      </c>
      <c r="E29" s="28">
        <v>4</v>
      </c>
      <c r="F29" s="28">
        <v>4</v>
      </c>
      <c r="G29" s="28">
        <v>4</v>
      </c>
      <c r="H29" s="28">
        <v>4</v>
      </c>
      <c r="I29" s="28">
        <v>15</v>
      </c>
      <c r="K29" s="28">
        <v>4</v>
      </c>
      <c r="L29" s="28">
        <v>4</v>
      </c>
      <c r="M29" s="28">
        <v>4</v>
      </c>
      <c r="N29" s="28">
        <v>4</v>
      </c>
      <c r="O29" s="28">
        <v>4</v>
      </c>
      <c r="P29" s="28">
        <v>14</v>
      </c>
      <c r="R29" s="28">
        <v>4</v>
      </c>
      <c r="S29" s="28">
        <v>4</v>
      </c>
      <c r="T29" s="28">
        <v>4</v>
      </c>
      <c r="U29" s="28">
        <v>4</v>
      </c>
      <c r="V29" s="28">
        <v>4</v>
      </c>
      <c r="W29" s="32" t="s">
        <v>1141</v>
      </c>
      <c r="X29" s="32" t="s">
        <v>1140</v>
      </c>
      <c r="Y29" s="32" t="s">
        <v>620</v>
      </c>
      <c r="Z29" s="32" t="s">
        <v>1139</v>
      </c>
      <c r="AA29" s="32" t="s">
        <v>1138</v>
      </c>
    </row>
    <row r="30" spans="1:27">
      <c r="A30" s="28">
        <v>197</v>
      </c>
      <c r="B30" s="28">
        <v>9</v>
      </c>
      <c r="D30" s="28">
        <v>5</v>
      </c>
      <c r="E30" s="28">
        <v>5</v>
      </c>
      <c r="F30" s="28">
        <v>5</v>
      </c>
      <c r="G30" s="28">
        <v>5</v>
      </c>
      <c r="H30" s="28">
        <v>5</v>
      </c>
      <c r="I30" s="28">
        <v>5</v>
      </c>
      <c r="K30" s="28">
        <v>4</v>
      </c>
      <c r="L30" s="28">
        <v>4</v>
      </c>
      <c r="M30" s="28">
        <v>4</v>
      </c>
      <c r="N30" s="28">
        <v>5</v>
      </c>
      <c r="O30" s="28">
        <v>5</v>
      </c>
      <c r="P30" s="28">
        <v>14</v>
      </c>
      <c r="R30" s="28">
        <v>4</v>
      </c>
      <c r="S30" s="28">
        <v>4</v>
      </c>
      <c r="T30" s="28">
        <v>3</v>
      </c>
      <c r="U30" s="28">
        <v>5</v>
      </c>
      <c r="V30" s="28">
        <v>5</v>
      </c>
      <c r="W30" s="32" t="s">
        <v>1166</v>
      </c>
      <c r="X30" s="32" t="s">
        <v>1165</v>
      </c>
      <c r="Y30" s="32" t="s">
        <v>1164</v>
      </c>
      <c r="Z30" s="39" t="s">
        <v>7</v>
      </c>
      <c r="AA30" s="32" t="s">
        <v>1163</v>
      </c>
    </row>
    <row r="31" spans="1:27">
      <c r="A31" s="29">
        <v>167</v>
      </c>
      <c r="B31" s="28">
        <v>10</v>
      </c>
      <c r="D31" s="28">
        <v>5</v>
      </c>
      <c r="E31" s="28">
        <v>4</v>
      </c>
      <c r="F31" s="28">
        <v>5</v>
      </c>
      <c r="G31" s="28">
        <v>5</v>
      </c>
      <c r="H31" s="28">
        <v>5</v>
      </c>
      <c r="I31" s="28">
        <v>13</v>
      </c>
      <c r="K31" s="28">
        <v>4</v>
      </c>
      <c r="L31" s="28">
        <v>4</v>
      </c>
      <c r="M31" s="28">
        <v>5</v>
      </c>
      <c r="N31" s="28">
        <v>4</v>
      </c>
      <c r="O31" s="28">
        <v>5</v>
      </c>
      <c r="P31" s="28">
        <v>5</v>
      </c>
      <c r="R31" s="28">
        <v>4</v>
      </c>
      <c r="S31" s="28">
        <v>5</v>
      </c>
      <c r="T31" s="28">
        <v>5</v>
      </c>
      <c r="U31" s="28">
        <v>5</v>
      </c>
      <c r="V31" s="28">
        <v>5</v>
      </c>
      <c r="W31" s="32" t="s">
        <v>1060</v>
      </c>
      <c r="X31" s="32" t="s">
        <v>1059</v>
      </c>
      <c r="Y31" s="32" t="s">
        <v>1058</v>
      </c>
      <c r="Z31" s="32" t="s">
        <v>1057</v>
      </c>
      <c r="AA31" s="32" t="s">
        <v>1056</v>
      </c>
    </row>
    <row r="32" spans="1:27">
      <c r="A32" s="29">
        <v>183</v>
      </c>
      <c r="B32" s="28">
        <v>10</v>
      </c>
      <c r="D32" s="28">
        <v>4</v>
      </c>
      <c r="E32" s="28">
        <v>3</v>
      </c>
      <c r="F32" s="28">
        <v>4</v>
      </c>
      <c r="G32" s="28">
        <v>4</v>
      </c>
      <c r="H32" s="28">
        <v>5</v>
      </c>
      <c r="I32" s="28">
        <v>6</v>
      </c>
      <c r="K32" s="28">
        <v>5</v>
      </c>
      <c r="L32" s="28">
        <v>5</v>
      </c>
      <c r="M32" s="28">
        <v>4</v>
      </c>
      <c r="N32" s="28">
        <v>5</v>
      </c>
      <c r="O32" s="28">
        <v>5</v>
      </c>
      <c r="P32" s="28">
        <v>9</v>
      </c>
      <c r="R32" s="28">
        <v>5</v>
      </c>
      <c r="S32" s="28">
        <v>4</v>
      </c>
      <c r="T32" s="28">
        <v>5</v>
      </c>
      <c r="U32" s="28">
        <v>5</v>
      </c>
      <c r="V32" s="28">
        <v>5</v>
      </c>
      <c r="W32" s="32" t="s">
        <v>1184</v>
      </c>
      <c r="X32" s="32" t="s">
        <v>1183</v>
      </c>
      <c r="Y32" s="32" t="s">
        <v>1182</v>
      </c>
      <c r="Z32" s="32" t="s">
        <v>1181</v>
      </c>
      <c r="AA32" s="32" t="s">
        <v>1180</v>
      </c>
    </row>
    <row r="33" spans="1:27">
      <c r="A33" s="29">
        <v>162</v>
      </c>
      <c r="B33" s="28">
        <v>11</v>
      </c>
      <c r="D33" s="28">
        <v>5</v>
      </c>
      <c r="E33" s="28">
        <v>4</v>
      </c>
      <c r="F33" s="28">
        <v>4</v>
      </c>
      <c r="G33" s="28">
        <v>4</v>
      </c>
      <c r="H33" s="28">
        <v>4</v>
      </c>
      <c r="I33" s="28">
        <v>15</v>
      </c>
      <c r="K33" s="28">
        <v>4</v>
      </c>
      <c r="L33" s="28">
        <v>4</v>
      </c>
      <c r="M33" s="28">
        <v>4</v>
      </c>
      <c r="N33" s="28">
        <v>4</v>
      </c>
      <c r="O33" s="28">
        <v>4</v>
      </c>
      <c r="P33" s="28">
        <v>3</v>
      </c>
      <c r="R33" s="28">
        <v>5</v>
      </c>
      <c r="S33" s="28">
        <v>5</v>
      </c>
      <c r="T33" s="28">
        <v>4</v>
      </c>
      <c r="U33" s="28">
        <v>5</v>
      </c>
      <c r="V33" s="28">
        <v>4</v>
      </c>
      <c r="W33" s="32" t="s">
        <v>1135</v>
      </c>
      <c r="X33" s="32" t="s">
        <v>1134</v>
      </c>
      <c r="Y33" s="32" t="s">
        <v>1133</v>
      </c>
      <c r="Z33" s="32" t="s">
        <v>1132</v>
      </c>
      <c r="AA33" s="32" t="s">
        <v>1131</v>
      </c>
    </row>
    <row r="34" spans="1:27">
      <c r="A34" s="29">
        <v>176</v>
      </c>
      <c r="B34" s="28">
        <v>11</v>
      </c>
      <c r="D34" s="28">
        <v>3</v>
      </c>
      <c r="E34" s="28">
        <v>4</v>
      </c>
      <c r="F34" s="28">
        <v>3</v>
      </c>
      <c r="G34" s="28">
        <v>3</v>
      </c>
      <c r="H34" s="28">
        <v>4</v>
      </c>
      <c r="I34" s="28">
        <v>17</v>
      </c>
      <c r="K34" s="28">
        <v>4</v>
      </c>
      <c r="L34" s="28">
        <v>4</v>
      </c>
      <c r="M34" s="28">
        <v>5</v>
      </c>
      <c r="N34" s="28">
        <v>4</v>
      </c>
      <c r="O34" s="28">
        <v>4</v>
      </c>
      <c r="P34" s="28">
        <v>3</v>
      </c>
      <c r="R34" s="28">
        <v>4</v>
      </c>
      <c r="S34" s="28">
        <v>4</v>
      </c>
      <c r="T34" s="28">
        <v>5</v>
      </c>
      <c r="U34" s="28">
        <v>5</v>
      </c>
      <c r="V34" s="28">
        <v>4</v>
      </c>
      <c r="W34" s="32" t="s">
        <v>1067</v>
      </c>
      <c r="X34" s="32" t="s">
        <v>1066</v>
      </c>
      <c r="Y34" s="39" t="s">
        <v>7</v>
      </c>
      <c r="Z34" s="39" t="s">
        <v>7</v>
      </c>
      <c r="AA34" s="32" t="s">
        <v>498</v>
      </c>
    </row>
    <row r="35" spans="1:27">
      <c r="A35" s="29">
        <v>178</v>
      </c>
      <c r="B35" s="28">
        <v>11</v>
      </c>
      <c r="D35" s="28">
        <v>5</v>
      </c>
      <c r="E35" s="28">
        <v>4</v>
      </c>
      <c r="F35" s="28">
        <v>3</v>
      </c>
      <c r="G35" s="28">
        <v>5</v>
      </c>
      <c r="H35" s="28">
        <v>4</v>
      </c>
      <c r="I35" s="28">
        <v>7</v>
      </c>
      <c r="K35" s="28">
        <v>5</v>
      </c>
      <c r="L35" s="28">
        <v>4</v>
      </c>
      <c r="M35" s="28">
        <v>5</v>
      </c>
      <c r="N35" s="28">
        <v>5</v>
      </c>
      <c r="O35" s="28">
        <v>5</v>
      </c>
      <c r="P35" s="28">
        <v>16</v>
      </c>
      <c r="R35" s="28">
        <v>4</v>
      </c>
      <c r="S35" s="28">
        <v>3</v>
      </c>
      <c r="T35" s="28">
        <v>3</v>
      </c>
      <c r="U35" s="28">
        <v>5</v>
      </c>
      <c r="V35" s="28">
        <v>5</v>
      </c>
      <c r="W35" s="32" t="s">
        <v>1055</v>
      </c>
      <c r="X35" s="32" t="s">
        <v>1054</v>
      </c>
      <c r="Y35" s="32" t="s">
        <v>1053</v>
      </c>
      <c r="Z35" s="39" t="s">
        <v>7</v>
      </c>
      <c r="AA35" s="32" t="s">
        <v>1052</v>
      </c>
    </row>
    <row r="36" spans="1:27">
      <c r="A36" s="29">
        <v>158</v>
      </c>
      <c r="B36" s="28">
        <v>12</v>
      </c>
      <c r="D36" s="28">
        <v>4</v>
      </c>
      <c r="E36" s="28">
        <v>4</v>
      </c>
      <c r="F36" s="28">
        <v>3</v>
      </c>
      <c r="G36" s="28">
        <v>5</v>
      </c>
      <c r="H36" s="28">
        <v>5</v>
      </c>
      <c r="I36" s="28">
        <v>8</v>
      </c>
      <c r="K36" s="28">
        <v>4</v>
      </c>
      <c r="L36" s="28">
        <v>4</v>
      </c>
      <c r="M36" s="28">
        <v>4</v>
      </c>
      <c r="N36" s="28">
        <v>4</v>
      </c>
      <c r="O36" s="28">
        <v>5</v>
      </c>
      <c r="P36" s="28">
        <v>6</v>
      </c>
      <c r="R36" s="28">
        <v>5</v>
      </c>
      <c r="S36" s="28">
        <v>5</v>
      </c>
      <c r="T36" s="28">
        <v>5</v>
      </c>
      <c r="U36" s="28">
        <v>5</v>
      </c>
      <c r="V36" s="28">
        <v>5</v>
      </c>
      <c r="W36" s="32" t="s">
        <v>1147</v>
      </c>
      <c r="X36" s="32" t="s">
        <v>1146</v>
      </c>
      <c r="Y36" s="39" t="s">
        <v>7</v>
      </c>
      <c r="Z36" s="32" t="s">
        <v>1145</v>
      </c>
      <c r="AA36" s="32" t="s">
        <v>1144</v>
      </c>
    </row>
    <row r="37" spans="1:27">
      <c r="A37" s="28">
        <v>196</v>
      </c>
      <c r="B37" s="28">
        <v>13</v>
      </c>
      <c r="D37" s="28">
        <v>4</v>
      </c>
      <c r="E37" s="28">
        <v>4</v>
      </c>
      <c r="F37" s="28">
        <v>4</v>
      </c>
      <c r="G37" s="28">
        <v>4</v>
      </c>
      <c r="H37" s="28">
        <v>4</v>
      </c>
      <c r="I37" s="28">
        <v>10</v>
      </c>
      <c r="K37" s="28">
        <v>4</v>
      </c>
      <c r="L37" s="28">
        <v>4</v>
      </c>
      <c r="M37" s="28">
        <v>4</v>
      </c>
      <c r="N37" s="28">
        <v>4</v>
      </c>
      <c r="O37" s="28">
        <v>4</v>
      </c>
      <c r="P37" s="28">
        <v>1</v>
      </c>
      <c r="R37" s="28">
        <v>4</v>
      </c>
      <c r="S37" s="28">
        <v>4</v>
      </c>
      <c r="T37" s="28">
        <v>4</v>
      </c>
      <c r="U37" s="28">
        <v>4</v>
      </c>
      <c r="V37" s="28">
        <v>4</v>
      </c>
      <c r="W37" s="32" t="s">
        <v>1122</v>
      </c>
      <c r="X37" s="32" t="s">
        <v>1121</v>
      </c>
      <c r="Y37" s="39" t="s">
        <v>7</v>
      </c>
      <c r="Z37" s="39" t="s">
        <v>7</v>
      </c>
      <c r="AA37" s="32" t="s">
        <v>1120</v>
      </c>
    </row>
  </sheetData>
  <sortState xmlns:xlrd2="http://schemas.microsoft.com/office/spreadsheetml/2017/richdata2" ref="A3:AA37">
    <sortCondition ref="B2:B37"/>
  </sortState>
  <conditionalFormatting sqref="W22">
    <cfRule type="containsBlanks" dxfId="15" priority="9">
      <formula>LEN(TRIM(W22))=0</formula>
    </cfRule>
  </conditionalFormatting>
  <conditionalFormatting sqref="Y6">
    <cfRule type="containsBlanks" dxfId="14" priority="17">
      <formula>LEN(TRIM(Y6))=0</formula>
    </cfRule>
  </conditionalFormatting>
  <conditionalFormatting sqref="Y18">
    <cfRule type="containsBlanks" dxfId="13" priority="11">
      <formula>LEN(TRIM(Y18))=0</formula>
    </cfRule>
  </conditionalFormatting>
  <conditionalFormatting sqref="Y25">
    <cfRule type="containsBlanks" dxfId="12" priority="8">
      <formula>LEN(TRIM(Y25))=0</formula>
    </cfRule>
  </conditionalFormatting>
  <conditionalFormatting sqref="Y36">
    <cfRule type="containsBlanks" dxfId="11" priority="2">
      <formula>LEN(TRIM(Y36))=0</formula>
    </cfRule>
  </conditionalFormatting>
  <conditionalFormatting sqref="Y8:Z9">
    <cfRule type="containsBlanks" dxfId="10" priority="14">
      <formula>LEN(TRIM(Y8))=0</formula>
    </cfRule>
  </conditionalFormatting>
  <conditionalFormatting sqref="Y34:Z34">
    <cfRule type="containsBlanks" dxfId="9" priority="4">
      <formula>LEN(TRIM(Y34))=0</formula>
    </cfRule>
  </conditionalFormatting>
  <conditionalFormatting sqref="Y37:Z37">
    <cfRule type="containsBlanks" dxfId="8" priority="1">
      <formula>LEN(TRIM(Y37))=0</formula>
    </cfRule>
  </conditionalFormatting>
  <conditionalFormatting sqref="Z4">
    <cfRule type="containsBlanks" dxfId="7" priority="18">
      <formula>LEN(TRIM(Z4))=0</formula>
    </cfRule>
  </conditionalFormatting>
  <conditionalFormatting sqref="Z11">
    <cfRule type="containsBlanks" dxfId="6" priority="13">
      <formula>LEN(TRIM(Z11))=0</formula>
    </cfRule>
  </conditionalFormatting>
  <conditionalFormatting sqref="Z22">
    <cfRule type="containsBlanks" dxfId="5" priority="10">
      <formula>LEN(TRIM(Z22))=0</formula>
    </cfRule>
  </conditionalFormatting>
  <conditionalFormatting sqref="Z26">
    <cfRule type="containsBlanks" dxfId="4" priority="6">
      <formula>LEN(TRIM(Z26))=0</formula>
    </cfRule>
  </conditionalFormatting>
  <conditionalFormatting sqref="Z30">
    <cfRule type="containsBlanks" dxfId="3" priority="5">
      <formula>LEN(TRIM(Z30))=0</formula>
    </cfRule>
  </conditionalFormatting>
  <conditionalFormatting sqref="Z35">
    <cfRule type="containsBlanks" dxfId="2" priority="3">
      <formula>LEN(TRIM(Z35))=0</formula>
    </cfRule>
  </conditionalFormatting>
  <conditionalFormatting sqref="Z15:AA15">
    <cfRule type="containsBlanks" dxfId="1" priority="12">
      <formula>LEN(TRIM(Z15))=0</formula>
    </cfRule>
  </conditionalFormatting>
  <conditionalFormatting sqref="AA25">
    <cfRule type="containsBlanks" dxfId="0" priority="7">
      <formula>LEN(TRIM(AA25))=0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9e28e15-d31b-44e8-884b-dd4b7f8c400e" xsi:nil="true"/>
    <lcf76f155ced4ddcb4097134ff3c332f xmlns="5c59037f-5e89-41ad-b878-f650a00ee9e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E1537C49224884F9ACD120027AFC701" ma:contentTypeVersion="14" ma:contentTypeDescription="Create a new document." ma:contentTypeScope="" ma:versionID="2e8e12602c5c183e781a70c99877b475">
  <xsd:schema xmlns:xsd="http://www.w3.org/2001/XMLSchema" xmlns:xs="http://www.w3.org/2001/XMLSchema" xmlns:p="http://schemas.microsoft.com/office/2006/metadata/properties" xmlns:ns2="5c59037f-5e89-41ad-b878-f650a00ee9e9" xmlns:ns3="a9e28e15-d31b-44e8-884b-dd4b7f8c400e" targetNamespace="http://schemas.microsoft.com/office/2006/metadata/properties" ma:root="true" ma:fieldsID="0e3588070412dcbb0fb4d6b5030507d6" ns2:_="" ns3:_="">
    <xsd:import namespace="5c59037f-5e89-41ad-b878-f650a00ee9e9"/>
    <xsd:import namespace="a9e28e15-d31b-44e8-884b-dd4b7f8c400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59037f-5e89-41ad-b878-f650a00ee9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809afe7-41e7-411a-ade2-84efccde1b3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e28e15-d31b-44e8-884b-dd4b7f8c400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41646d7-d6d7-4702-972d-ad4b14015914}" ma:internalName="TaxCatchAll" ma:showField="CatchAllData" ma:web="a9e28e15-d31b-44e8-884b-dd4b7f8c40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EE4A93-0569-4915-905B-FBE6EF0E40F2}">
  <ds:schemaRefs>
    <ds:schemaRef ds:uri="http://schemas.microsoft.com/office/2006/metadata/properties"/>
    <ds:schemaRef ds:uri="http://schemas.microsoft.com/office/infopath/2007/PartnerControls"/>
    <ds:schemaRef ds:uri="a9e28e15-d31b-44e8-884b-dd4b7f8c400e"/>
    <ds:schemaRef ds:uri="5c59037f-5e89-41ad-b878-f650a00ee9e9"/>
  </ds:schemaRefs>
</ds:datastoreItem>
</file>

<file path=customXml/itemProps2.xml><?xml version="1.0" encoding="utf-8"?>
<ds:datastoreItem xmlns:ds="http://schemas.openxmlformats.org/officeDocument/2006/customXml" ds:itemID="{B9333667-30B4-4DDE-B082-7AD0EB0B8C12}">
  <ds:schemaRefs>
    <ds:schemaRef ds:uri="http://schemas.microsoft.com/sharepoint/v3/contenttype/forms"/>
  </ds:schemaRefs>
</ds:datastoreItem>
</file>

<file path=customXml/itemProps3.xml><?xml version="1.0" encoding="utf-8"?>
<ds:datastoreItem xmlns:ds="http://schemas.openxmlformats.org/officeDocument/2006/customXml" ds:itemID="{F4029493-DF45-44CC-82A0-8122F78E67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59037f-5e89-41ad-b878-f650a00ee9e9"/>
    <ds:schemaRef ds:uri="a9e28e15-d31b-44e8-884b-dd4b7f8c40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Pre-Post-Q-Xwalk</vt:lpstr>
      <vt:lpstr>Pre-Survey&gt;&gt;&gt;</vt:lpstr>
      <vt:lpstr>Pre-Survey_Code Book</vt:lpstr>
      <vt:lpstr>Pre-Survey_Quant</vt:lpstr>
      <vt:lpstr>Pre-Survey_Qual</vt:lpstr>
      <vt:lpstr>Post-Survey&gt;&gt;&gt;</vt:lpstr>
      <vt:lpstr>Post-Survey_Code Book</vt:lpstr>
      <vt:lpstr>Post-Survey_Quant</vt:lpstr>
      <vt:lpstr>Post-Survey_Qual</vt:lpstr>
      <vt:lpstr>Pre-Post-IDP-Xwalk</vt:lpstr>
      <vt:lpstr>Pre-EIDP&gt;&gt;&gt;</vt:lpstr>
      <vt:lpstr>Pre-EIDP_Code Book</vt:lpstr>
      <vt:lpstr>Pre-EIDP_data</vt:lpstr>
      <vt:lpstr>Post-EIDP&gt;&gt;&gt;</vt:lpstr>
      <vt:lpstr>Post-EIDP_Code Book</vt:lpstr>
      <vt:lpstr>Post-EIDP_data</vt:lpstr>
    </vt:vector>
  </TitlesOfParts>
  <Company>Colorado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Bennett,Jenny</dc:creator>
  <cp:lastModifiedBy>Chenarides,Lauren</cp:lastModifiedBy>
  <dcterms:created xsi:type="dcterms:W3CDTF">2026-03-07T20:16:40Z</dcterms:created>
  <dcterms:modified xsi:type="dcterms:W3CDTF">2026-04-10T23:21:13Z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0x010100EE1537C49224884F9ACD120027AFC701</vt:lpwstr>
  </property>
  <property fmtid="{D5CDD505-2E9C-101B-9397-08002B2CF9AE}" pid="3" name="MediaServiceImageTags">
    <vt:lpwstr/>
  </property>
</Properties>
</file>